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2.xml" ContentType="application/vnd.openxmlformats-officedocument.spreadsheetml.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Ex1.xml" ContentType="application/vnd.ms-office.chartex+xml"/>
  <Override PartName="/xl/charts/chartEx2.xml" ContentType="application/vnd.ms-office.chartex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hidePivotFieldList="1"/>
  <bookViews>
    <workbookView xWindow="-110" yWindow="-110" windowWidth="19420" windowHeight="11020" firstSheet="9" activeTab="16"/>
  </bookViews>
  <sheets>
    <sheet name="MARKSHEET" sheetId="1" r:id="rId1"/>
    <sheet name="STUDENT LIST" sheetId="2" r:id="rId2"/>
    <sheet name="PARETOS CHART" sheetId="3" r:id="rId3"/>
    <sheet name="CAHRTS" sheetId="4" r:id="rId4"/>
    <sheet name="SPEEDOMETER" sheetId="5" r:id="rId5"/>
    <sheet name="IF FUNCTION" sheetId="7" r:id="rId6"/>
    <sheet name="IF FUNCITON 2" sheetId="8" r:id="rId7"/>
    <sheet name="SALES REPORT" sheetId="10" r:id="rId8"/>
    <sheet name="DEPRECIATION" sheetId="12" r:id="rId9"/>
    <sheet name="FINACNICAL " sheetId="11" r:id="rId10"/>
    <sheet name="VLOOKUP" sheetId="14" r:id="rId11"/>
    <sheet name="HLOOK UP" sheetId="21" r:id="rId12"/>
    <sheet name="FILTER" sheetId="15" r:id="rId13"/>
    <sheet name="SUMIF" sheetId="17" r:id="rId14"/>
    <sheet name="IF&amp;SUM" sheetId="16" r:id="rId15"/>
    <sheet name="BALANCE SHEET" sheetId="18" r:id="rId16"/>
    <sheet name="MONTHLY REPORT" sheetId="19" r:id="rId17"/>
  </sheets>
  <externalReferences>
    <externalReference r:id="rId18"/>
  </externalReferences>
  <definedNames>
    <definedName name="_xlchart.v1.0" hidden="1">MARKSHEET!$H$3</definedName>
    <definedName name="_xlchart.v1.1" hidden="1">MARKSHEET!$H$4:$H$28</definedName>
    <definedName name="_xlchart.v1.10" hidden="1">'PARETOS CHART'!$D$4:$D$30</definedName>
    <definedName name="_xlchart.v1.2" hidden="1">MARKSHEET!$I$3</definedName>
    <definedName name="_xlchart.v1.3" hidden="1">MARKSHEET!$I$4:$I$28</definedName>
    <definedName name="_xlchart.v1.4" hidden="1">'PARETOS CHART'!$A$4:$A$30</definedName>
    <definedName name="_xlchart.v1.5" hidden="1">'PARETOS CHART'!$B$3</definedName>
    <definedName name="_xlchart.v1.6" hidden="1">'PARETOS CHART'!$B$4:$B$30</definedName>
    <definedName name="_xlchart.v1.7" hidden="1">'PARETOS CHART'!$C$3</definedName>
    <definedName name="_xlchart.v1.8" hidden="1">'PARETOS CHART'!$C$4:$C$30</definedName>
    <definedName name="_xlchart.v1.9" hidden="1">'PARETOS CHART'!$D$3</definedName>
    <definedName name="BALANCESHEET">'BALANCE SHEET'!$A$3:$E$15</definedName>
    <definedName name="CAHRTS">Table849[#All]</definedName>
    <definedName name="CHARTS">Table849[#All]</definedName>
    <definedName name="DEPRECIATION">DEPRECIATION!$A$4:$D$25</definedName>
    <definedName name="FILTER">FILTER!$A$3:$O$30</definedName>
    <definedName name="FINANCIAL">'FINACNICAL '!$A$3:$D$23</definedName>
    <definedName name="IFFUCNTION">'IF FUNCTION'!$A$3:$H$27</definedName>
    <definedName name="IFFUNCTION2">'IF FUNCITON 2'!$A$3:$F$25</definedName>
    <definedName name="IFSUM">'IF&amp;SUM'!$A$3:$I$22</definedName>
    <definedName name="INDEX2">'SALES REPORT'!$A$3:$M$18</definedName>
    <definedName name="indexsales">#REF!</definedName>
    <definedName name="MARKSHEET">MARKSHEET!$A$3:$N$28</definedName>
    <definedName name="PARETOS">'PARETOS CHART'!$A$3:$D$30</definedName>
    <definedName name="PARETOS2">#REF!</definedName>
    <definedName name="SPEEDOMETER">SPEEDOMETER!$A$3:$C$9</definedName>
    <definedName name="STUDENTLIST">'STUDENT LIST'!$A$4:$I$20</definedName>
    <definedName name="SUMIF">SUMIF!$A$3:$E$44</definedName>
    <definedName name="VLOOUKUP">VLOOKUP!$A$3:$E$25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9" l="1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O8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4" i="16"/>
  <c r="E5" i="18" l="1"/>
  <c r="E6" i="18"/>
  <c r="E7" i="18"/>
  <c r="E8" i="18"/>
  <c r="E9" i="18"/>
  <c r="E10" i="18"/>
  <c r="E11" i="18"/>
  <c r="E12" i="18"/>
  <c r="E13" i="18"/>
  <c r="E14" i="18"/>
  <c r="E15" i="18"/>
  <c r="E4" i="18"/>
  <c r="I10" i="17"/>
  <c r="I9" i="17"/>
  <c r="I8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4" i="15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C10" i="21"/>
  <c r="D10" i="21"/>
  <c r="E10" i="21"/>
  <c r="F10" i="21"/>
  <c r="G10" i="21"/>
  <c r="H10" i="21"/>
  <c r="I10" i="21"/>
  <c r="B10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B7" i="21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8" i="14"/>
  <c r="E5" i="14"/>
  <c r="E6" i="14"/>
  <c r="E7" i="14"/>
  <c r="E4" i="14"/>
  <c r="B24" i="14"/>
  <c r="B25" i="14"/>
  <c r="B20" i="14"/>
  <c r="B21" i="14"/>
  <c r="B22" i="14"/>
  <c r="B23" i="14"/>
  <c r="B14" i="14"/>
  <c r="B15" i="14"/>
  <c r="B16" i="14"/>
  <c r="B17" i="14"/>
  <c r="B18" i="14"/>
  <c r="B19" i="14"/>
  <c r="B12" i="14"/>
  <c r="B13" i="14"/>
  <c r="B11" i="14"/>
  <c r="B7" i="14"/>
  <c r="B8" i="14"/>
  <c r="B9" i="14"/>
  <c r="B10" i="14"/>
  <c r="B6" i="14"/>
  <c r="B5" i="14"/>
  <c r="B4" i="14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4" i="10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4" i="8"/>
  <c r="H15" i="7"/>
  <c r="H4" i="7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4" i="3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4" i="19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4" i="16"/>
  <c r="H5" i="7"/>
  <c r="H6" i="7"/>
  <c r="H7" i="7"/>
  <c r="H8" i="7"/>
  <c r="H9" i="7"/>
  <c r="H10" i="7"/>
  <c r="H11" i="7"/>
  <c r="H12" i="7"/>
  <c r="H13" i="7"/>
  <c r="H14" i="7"/>
  <c r="H16" i="7"/>
  <c r="H17" i="7"/>
  <c r="H18" i="7"/>
  <c r="H19" i="7"/>
  <c r="H20" i="7"/>
  <c r="H21" i="7"/>
  <c r="H22" i="7"/>
  <c r="H23" i="7"/>
  <c r="H24" i="7"/>
  <c r="H25" i="7"/>
  <c r="H26" i="7"/>
  <c r="H27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4" i="7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4" i="7"/>
  <c r="H28" i="1"/>
  <c r="I28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4" i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5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4" i="1"/>
  <c r="H2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4" i="1"/>
  <c r="D15" i="18"/>
  <c r="C15" i="18"/>
  <c r="D12" i="18"/>
  <c r="C12" i="18"/>
  <c r="D9" i="18"/>
  <c r="C9" i="18"/>
  <c r="D6" i="18"/>
  <c r="C6" i="18"/>
  <c r="C4" i="3"/>
  <c r="C5" i="3"/>
  <c r="C6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</calcChain>
</file>

<file path=xl/sharedStrings.xml><?xml version="1.0" encoding="utf-8"?>
<sst xmlns="http://schemas.openxmlformats.org/spreadsheetml/2006/main" count="550" uniqueCount="277">
  <si>
    <t>MATHS</t>
  </si>
  <si>
    <t>ENG</t>
  </si>
  <si>
    <t>HINDI</t>
  </si>
  <si>
    <t xml:space="preserve">SCI </t>
  </si>
  <si>
    <t>SST</t>
  </si>
  <si>
    <t>ECO</t>
  </si>
  <si>
    <t>TOTAL</t>
  </si>
  <si>
    <t>AVG</t>
  </si>
  <si>
    <t>GRADE</t>
  </si>
  <si>
    <t>max</t>
  </si>
  <si>
    <t>ROHAN</t>
  </si>
  <si>
    <t>SOHAN</t>
  </si>
  <si>
    <t>KARAN</t>
  </si>
  <si>
    <t>KAVITA</t>
  </si>
  <si>
    <t>DEEPAK</t>
  </si>
  <si>
    <t>DEEPIKA</t>
  </si>
  <si>
    <t>LALITA</t>
  </si>
  <si>
    <t>GAGAN</t>
  </si>
  <si>
    <t>MANISH</t>
  </si>
  <si>
    <t>RIYA</t>
  </si>
  <si>
    <t>RITU</t>
  </si>
  <si>
    <t>SAVITA</t>
  </si>
  <si>
    <t>kunal</t>
  </si>
  <si>
    <t>devender</t>
  </si>
  <si>
    <t>AKHIL</t>
  </si>
  <si>
    <t>MUKESH</t>
  </si>
  <si>
    <t>AMIT</t>
  </si>
  <si>
    <t>ANIL</t>
  </si>
  <si>
    <t>GEETA</t>
  </si>
  <si>
    <t>MONU</t>
  </si>
  <si>
    <t>SONU</t>
  </si>
  <si>
    <t>FIROZ</t>
  </si>
  <si>
    <t>SAHIL</t>
  </si>
  <si>
    <t>SATISH</t>
  </si>
  <si>
    <t>GOLU</t>
  </si>
  <si>
    <t>MARKSHEET</t>
  </si>
  <si>
    <t>MIN</t>
  </si>
  <si>
    <t>MAX</t>
  </si>
  <si>
    <t>RANK</t>
  </si>
  <si>
    <t>ROUND</t>
  </si>
  <si>
    <t>NAME</t>
  </si>
  <si>
    <t>STUDENTS list</t>
  </si>
  <si>
    <t>STUDENTS NAME</t>
  </si>
  <si>
    <t>roll no.</t>
  </si>
  <si>
    <t>ENGLISH</t>
  </si>
  <si>
    <t>MATH</t>
  </si>
  <si>
    <t>SCINECE</t>
  </si>
  <si>
    <t>PERCENTAGE</t>
  </si>
  <si>
    <t>RESULT</t>
  </si>
  <si>
    <t>ANKIT</t>
  </si>
  <si>
    <t>SURAJ</t>
  </si>
  <si>
    <t>NARESH</t>
  </si>
  <si>
    <t>NARAAYAN</t>
  </si>
  <si>
    <t>PANKAJ</t>
  </si>
  <si>
    <t>SASHTRI</t>
  </si>
  <si>
    <t>KANHAIYA</t>
  </si>
  <si>
    <t>ANUJ</t>
  </si>
  <si>
    <t>RIJUL</t>
  </si>
  <si>
    <t>KARTIK</t>
  </si>
  <si>
    <t>SNEHA</t>
  </si>
  <si>
    <t>PAWAN</t>
  </si>
  <si>
    <t>KUNAL</t>
  </si>
  <si>
    <t>AMAN</t>
  </si>
  <si>
    <t>EMP NAME</t>
  </si>
  <si>
    <t>SALARY</t>
  </si>
  <si>
    <t>DA</t>
  </si>
  <si>
    <t>Emp Name</t>
  </si>
  <si>
    <t>SAMEER</t>
  </si>
  <si>
    <t>VIKAS</t>
  </si>
  <si>
    <t>PARETOS CHART</t>
  </si>
  <si>
    <t xml:space="preserve"> CHARTS</t>
  </si>
  <si>
    <t>MONTH</t>
  </si>
  <si>
    <t>TARGET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</si>
  <si>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</si>
  <si>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</si>
  <si>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</si>
  <si>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</si>
  <si>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</si>
  <si>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</si>
  <si>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</si>
  <si>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</si>
  <si>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</si>
  <si>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</si>
  <si>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</si>
  <si>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</si>
  <si>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</si>
  <si>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speedometer</t>
  </si>
  <si>
    <t>pointer</t>
  </si>
  <si>
    <t>start</t>
  </si>
  <si>
    <t>value</t>
  </si>
  <si>
    <t>initial</t>
  </si>
  <si>
    <t>middle</t>
  </si>
  <si>
    <t>ender</t>
  </si>
  <si>
    <t>end</t>
  </si>
  <si>
    <t>SPEEDOMETER</t>
  </si>
  <si>
    <t>computer</t>
  </si>
  <si>
    <t>heater</t>
  </si>
  <si>
    <t>cooler</t>
  </si>
  <si>
    <t>hard disk</t>
  </si>
  <si>
    <t>lap top</t>
  </si>
  <si>
    <t>iphone</t>
  </si>
  <si>
    <t>room cleaning</t>
  </si>
  <si>
    <t xml:space="preserve">food </t>
  </si>
  <si>
    <t>mouse</t>
  </si>
  <si>
    <t>key board</t>
  </si>
  <si>
    <t>suits</t>
  </si>
  <si>
    <t>scooter</t>
  </si>
  <si>
    <t>car</t>
  </si>
  <si>
    <t>mother board</t>
  </si>
  <si>
    <t>TV</t>
  </si>
  <si>
    <t>ac</t>
  </si>
  <si>
    <t>sewing machine</t>
  </si>
  <si>
    <t>cpy</t>
  </si>
  <si>
    <t>mac book</t>
  </si>
  <si>
    <t>engine</t>
  </si>
  <si>
    <t>tyres</t>
  </si>
  <si>
    <t>ITEMS NAME</t>
  </si>
  <si>
    <t>QTY</t>
  </si>
  <si>
    <t>RATE</t>
  </si>
  <si>
    <t>PENDRIVE INCREASE BY 60</t>
  </si>
  <si>
    <t>COMPUTER DECREASE BY 70</t>
  </si>
  <si>
    <t>NEW RATE</t>
  </si>
  <si>
    <t>TOTAL SALES WITH NEW RATE</t>
  </si>
  <si>
    <t>shirts</t>
  </si>
  <si>
    <t>t-shirts</t>
  </si>
  <si>
    <t>jeans</t>
  </si>
  <si>
    <t>kurta</t>
  </si>
  <si>
    <t>jacket</t>
  </si>
  <si>
    <t>pen drive</t>
  </si>
  <si>
    <t>C.P.U</t>
  </si>
  <si>
    <t>IF FUCNTION</t>
  </si>
  <si>
    <t>month</t>
  </si>
  <si>
    <t>asd-01</t>
  </si>
  <si>
    <t>asd-02</t>
  </si>
  <si>
    <t>asd-04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</si>
  <si>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</si>
  <si>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</si>
  <si>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</si>
  <si>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</si>
  <si>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</si>
  <si>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</si>
  <si>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</si>
  <si>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</si>
  <si>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</si>
  <si>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</si>
  <si>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</si>
  <si>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</si>
  <si>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</si>
  <si>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IF FUCNITON</t>
  </si>
  <si>
    <t>SALES REPORT</t>
  </si>
  <si>
    <t>total</t>
  </si>
  <si>
    <t>hari</t>
  </si>
  <si>
    <t>mohan</t>
  </si>
  <si>
    <t>john</t>
  </si>
  <si>
    <t>gagan</t>
  </si>
  <si>
    <t>deepak</t>
  </si>
  <si>
    <t>lalita</t>
  </si>
  <si>
    <t>riya</t>
  </si>
  <si>
    <t>siya</t>
  </si>
  <si>
    <t>savita</t>
  </si>
  <si>
    <t>sarita</t>
  </si>
  <si>
    <t>yash</t>
  </si>
  <si>
    <t>mohini</t>
  </si>
  <si>
    <t>CALCULATE DEPRECIATION</t>
  </si>
  <si>
    <t>ITEM NAME</t>
  </si>
  <si>
    <t>COST</t>
  </si>
  <si>
    <t>ESTIMATED</t>
  </si>
  <si>
    <t>YEAR OF USEFUL</t>
  </si>
  <si>
    <t>Annual Interest Rate</t>
  </si>
  <si>
    <t>Period</t>
  </si>
  <si>
    <t>No of Year in the investment</t>
  </si>
  <si>
    <t>loan</t>
  </si>
  <si>
    <t>FINANCIAL FUNCITON</t>
  </si>
  <si>
    <t>product ID</t>
  </si>
  <si>
    <t>product desc</t>
  </si>
  <si>
    <t>sales desc</t>
  </si>
  <si>
    <t>calender day</t>
  </si>
  <si>
    <t>month year</t>
  </si>
  <si>
    <t>pos01</t>
  </si>
  <si>
    <t>pos02</t>
  </si>
  <si>
    <t>pos03</t>
  </si>
  <si>
    <t>pos05</t>
  </si>
  <si>
    <t>pos04</t>
  </si>
  <si>
    <t>pos07</t>
  </si>
  <si>
    <t>VLOOKUP</t>
  </si>
  <si>
    <t>ARRAY TABLE 1</t>
  </si>
  <si>
    <t>PRODUCT ID</t>
  </si>
  <si>
    <t>PRODUCT DESC</t>
  </si>
  <si>
    <t>POS01</t>
  </si>
  <si>
    <t>NOTE BOOK SPEEDY I</t>
  </si>
  <si>
    <t>POS02</t>
  </si>
  <si>
    <t>NOTE BOOK SPEEDY II</t>
  </si>
  <si>
    <t>POS03</t>
  </si>
  <si>
    <t>PC THINK BOX</t>
  </si>
  <si>
    <t>POS04</t>
  </si>
  <si>
    <t>USB ADAPTOR</t>
  </si>
  <si>
    <t>POS05</t>
  </si>
  <si>
    <t>IPHONES PXL</t>
  </si>
  <si>
    <t>POS06</t>
  </si>
  <si>
    <t>CAMERA CONNECTOR</t>
  </si>
  <si>
    <t>POS07</t>
  </si>
  <si>
    <t>SAMSUNG CHARGER</t>
  </si>
  <si>
    <t>ARRAY TABLE 2</t>
  </si>
  <si>
    <t>DATE</t>
  </si>
  <si>
    <t>MON-YEAR</t>
  </si>
  <si>
    <t>YEAR</t>
  </si>
  <si>
    <t>AVERAGE</t>
  </si>
  <si>
    <t>MONTHLY REPORT</t>
  </si>
  <si>
    <t>ITEMS</t>
  </si>
  <si>
    <t>TOTAL SALES (QTY)</t>
  </si>
  <si>
    <t>RATE/PIECE</t>
  </si>
  <si>
    <t>TOTAL SALES (RS)</t>
  </si>
  <si>
    <t>CARDIGAN</t>
  </si>
  <si>
    <t>HALF-PANT</t>
  </si>
  <si>
    <t>JACKETS</t>
  </si>
  <si>
    <t>JEANS-BLAZER</t>
  </si>
  <si>
    <t>JEANS-JACK</t>
  </si>
  <si>
    <t>KURTA PAJAMA</t>
  </si>
  <si>
    <t>LEE JACKETS</t>
  </si>
  <si>
    <t>LEE JEANS</t>
  </si>
  <si>
    <t>PULLOVERS</t>
  </si>
  <si>
    <t>SHIRTS</t>
  </si>
  <si>
    <t>SUITES</t>
  </si>
  <si>
    <t>TROUSERS</t>
  </si>
  <si>
    <t>T-SHIRTS</t>
  </si>
  <si>
    <t>VIP JACKETS</t>
  </si>
  <si>
    <t>VIP SHIRTS</t>
  </si>
  <si>
    <t>SALES REPROT</t>
  </si>
  <si>
    <t>SALES MAN</t>
  </si>
  <si>
    <t>ITEM</t>
  </si>
  <si>
    <t>SOLID ITEM</t>
  </si>
  <si>
    <t>TOTAL SALES [Rs.]</t>
  </si>
  <si>
    <t>SURESH</t>
  </si>
  <si>
    <t>COMPUTER</t>
  </si>
  <si>
    <t>VICKY</t>
  </si>
  <si>
    <t>HERJEET</t>
  </si>
  <si>
    <t>PRAMOD</t>
  </si>
  <si>
    <t>OVEN</t>
  </si>
  <si>
    <t>RAJESH</t>
  </si>
  <si>
    <t>SANDEEP</t>
  </si>
  <si>
    <t>REFRIFERATOR</t>
  </si>
  <si>
    <t>STEREO</t>
  </si>
  <si>
    <t>ARUN</t>
  </si>
  <si>
    <t>REEMA</t>
  </si>
  <si>
    <t>VCR</t>
  </si>
  <si>
    <t>RAVI</t>
  </si>
  <si>
    <t>RAJ</t>
  </si>
  <si>
    <t>SUMIF</t>
  </si>
  <si>
    <t>CURRENT ACCOUNT</t>
  </si>
  <si>
    <t>CAPITAL ACCOUNT</t>
  </si>
  <si>
    <t>TOTAL=CURRENT ACCOUNT + CAPITAL ACCOUNT</t>
  </si>
  <si>
    <t>Credits</t>
  </si>
  <si>
    <t>Debits</t>
  </si>
  <si>
    <t>Net</t>
  </si>
  <si>
    <t>1981-82</t>
  </si>
  <si>
    <t>1988-89</t>
  </si>
  <si>
    <t>1989-90</t>
  </si>
  <si>
    <t>BALANCE SHEET</t>
  </si>
  <si>
    <t>Monthly TotalFor 5 Years</t>
  </si>
  <si>
    <t>Avg. 5 years</t>
  </si>
  <si>
    <t>MONTHLY SALES REPORT</t>
  </si>
  <si>
    <t>]</t>
  </si>
  <si>
    <t>HLOOK UP</t>
  </si>
  <si>
    <t>TOTAL SALES OF COMPUTER</t>
  </si>
  <si>
    <t>TOTAL SALES OF OVEN</t>
  </si>
  <si>
    <t>TOTA;L SALES OF VCR</t>
  </si>
  <si>
    <t>TOTAL SALES OF ALL SALESMAN</t>
  </si>
  <si>
    <t>TOTAL NUMBER OF TARGET ACHIEVED</t>
  </si>
  <si>
    <t>MONTHLY ELECTRIC SUPPLY</t>
  </si>
  <si>
    <t>1993</t>
  </si>
  <si>
    <t>1994</t>
  </si>
  <si>
    <t>1995</t>
  </si>
  <si>
    <t>1996</t>
  </si>
  <si>
    <t>1997</t>
  </si>
  <si>
    <t>1998</t>
  </si>
  <si>
    <t>1999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</si>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</sst>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24"/>
      <color theme="0"/>
      <name val="Algerian"/>
      <family val="5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6"/>
      <color theme="0"/>
      <name val="Arial Black"/>
      <family val="2"/>
    </font>
    <font>
      <b/>
      <sz val="11"/>
      <color theme="1"/>
      <name val="Arial"/>
      <family val="2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rgb="FFFFC000"/>
        <bgColor theme="7" tint="-0.249977111117893"/>
      </patternFill>
    </fill>
    <fill>
      <patternFill patternType="solid">
        <fgColor theme="7" tint="-0.249977111117893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C000"/>
      </left>
      <right/>
      <top/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5" xfId="0" applyFont="1" applyBorder="1"/>
    <xf numFmtId="0" fontId="9" fillId="0" borderId="6" xfId="0" applyFont="1" applyBorder="1"/>
    <xf numFmtId="0" fontId="1" fillId="6" borderId="4" xfId="0" applyFont="1" applyFill="1" applyBorder="1"/>
    <xf numFmtId="0" fontId="10" fillId="7" borderId="1" xfId="0" applyFont="1" applyFill="1" applyBorder="1"/>
    <xf numFmtId="0" fontId="11" fillId="8" borderId="1" xfId="0" applyFont="1" applyFill="1" applyBorder="1"/>
    <xf numFmtId="0" fontId="11" fillId="9" borderId="1" xfId="0" applyFont="1" applyFill="1" applyBorder="1"/>
    <xf numFmtId="0" fontId="11" fillId="5" borderId="1" xfId="0" applyFont="1" applyFill="1" applyBorder="1"/>
    <xf numFmtId="0" fontId="11" fillId="8" borderId="7" xfId="0" applyFont="1" applyFill="1" applyBorder="1"/>
    <xf numFmtId="0" fontId="11" fillId="9" borderId="7" xfId="0" applyFont="1" applyFill="1" applyBorder="1"/>
    <xf numFmtId="0" fontId="11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0" fillId="0" borderId="14" xfId="0" applyBorder="1"/>
    <xf numFmtId="0" fontId="4" fillId="0" borderId="0" xfId="0" applyFont="1"/>
    <xf numFmtId="0" fontId="4" fillId="12" borderId="1" xfId="0" applyFont="1" applyFill="1" applyBorder="1"/>
    <xf numFmtId="0" fontId="4" fillId="13" borderId="1" xfId="0" applyFont="1" applyFill="1" applyBorder="1"/>
    <xf numFmtId="0" fontId="4" fillId="5" borderId="12" xfId="0" applyFont="1" applyFill="1" applyBorder="1"/>
    <xf numFmtId="0" fontId="4" fillId="5" borderId="1" xfId="0" applyFont="1" applyFill="1" applyBorder="1"/>
    <xf numFmtId="0" fontId="14" fillId="11" borderId="1" xfId="0" applyFont="1" applyFill="1" applyBorder="1" applyAlignment="1">
      <alignment wrapText="1"/>
    </xf>
    <xf numFmtId="0" fontId="14" fillId="11" borderId="12" xfId="0" applyFont="1" applyFill="1" applyBorder="1" applyAlignment="1">
      <alignment wrapText="1"/>
    </xf>
    <xf numFmtId="0" fontId="10" fillId="4" borderId="1" xfId="0" applyFont="1" applyFill="1" applyBorder="1" applyAlignment="1">
      <alignment horizontal="center"/>
    </xf>
    <xf numFmtId="0" fontId="13" fillId="4" borderId="1" xfId="0" applyFont="1" applyFill="1" applyBorder="1"/>
    <xf numFmtId="0" fontId="11" fillId="3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4" borderId="1" xfId="0" applyFont="1" applyFill="1" applyBorder="1"/>
    <xf numFmtId="0" fontId="3" fillId="10" borderId="1" xfId="0" applyFont="1" applyFill="1" applyBorder="1"/>
    <xf numFmtId="0" fontId="10" fillId="8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0" fillId="16" borderId="1" xfId="0" applyFill="1" applyBorder="1"/>
    <xf numFmtId="0" fontId="10" fillId="17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9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0" fontId="8" fillId="3" borderId="1" xfId="0" applyNumberFormat="1" applyFont="1" applyFill="1" applyBorder="1" applyAlignment="1">
      <alignment horizontal="center"/>
    </xf>
    <xf numFmtId="0" fontId="2" fillId="16" borderId="1" xfId="0" applyFont="1" applyFill="1" applyBorder="1"/>
    <xf numFmtId="0" fontId="0" fillId="13" borderId="1" xfId="0" applyFill="1" applyBorder="1"/>
    <xf numFmtId="0" fontId="7" fillId="20" borderId="1" xfId="0" applyFont="1" applyFill="1" applyBorder="1"/>
    <xf numFmtId="0" fontId="2" fillId="5" borderId="12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8" fillId="19" borderId="1" xfId="0" applyFont="1" applyFill="1" applyBorder="1"/>
    <xf numFmtId="0" fontId="3" fillId="15" borderId="1" xfId="0" applyFont="1" applyFill="1" applyBorder="1"/>
    <xf numFmtId="0" fontId="3" fillId="15" borderId="7" xfId="0" applyFont="1" applyFill="1" applyBorder="1"/>
    <xf numFmtId="0" fontId="3" fillId="0" borderId="0" xfId="0" applyFont="1"/>
    <xf numFmtId="0" fontId="7" fillId="21" borderId="0" xfId="0" applyFont="1" applyFill="1" applyAlignment="1">
      <alignment horizontal="center" vertical="top"/>
    </xf>
    <xf numFmtId="0" fontId="7" fillId="21" borderId="0" xfId="0" applyFont="1" applyFill="1" applyAlignment="1">
      <alignment horizontal="center" vertical="top" wrapText="1"/>
    </xf>
    <xf numFmtId="0" fontId="16" fillId="22" borderId="1" xfId="0" applyFont="1" applyFill="1" applyBorder="1"/>
    <xf numFmtId="0" fontId="16" fillId="23" borderId="1" xfId="0" applyFont="1" applyFill="1" applyBorder="1"/>
    <xf numFmtId="0" fontId="16" fillId="24" borderId="1" xfId="0" applyFont="1" applyFill="1" applyBorder="1"/>
    <xf numFmtId="0" fontId="7" fillId="25" borderId="1" xfId="0" applyFont="1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0" xfId="0" applyFill="1" applyAlignment="1">
      <alignment horizontal="center"/>
    </xf>
    <xf numFmtId="0" fontId="0" fillId="28" borderId="0" xfId="0" applyFill="1" applyAlignment="1">
      <alignment horizontal="center" vertical="top" wrapText="1"/>
    </xf>
    <xf numFmtId="0" fontId="0" fillId="28" borderId="0" xfId="0" applyFill="1" applyAlignment="1">
      <alignment horizontal="right" vertical="top" wrapText="1"/>
    </xf>
    <xf numFmtId="0" fontId="0" fillId="28" borderId="0" xfId="0" applyFill="1" applyAlignment="1">
      <alignment horizontal="center" vertical="center" wrapText="1"/>
    </xf>
    <xf numFmtId="0" fontId="0" fillId="29" borderId="0" xfId="0" applyFill="1" applyAlignment="1">
      <alignment horizontal="center"/>
    </xf>
    <xf numFmtId="0" fontId="0" fillId="18" borderId="1" xfId="0" applyFill="1" applyBorder="1"/>
    <xf numFmtId="0" fontId="0" fillId="15" borderId="1" xfId="0" applyFill="1" applyBorder="1"/>
    <xf numFmtId="0" fontId="3" fillId="10" borderId="15" xfId="0" applyFont="1" applyFill="1" applyBorder="1"/>
    <xf numFmtId="0" fontId="0" fillId="10" borderId="11" xfId="0" applyFill="1" applyBorder="1"/>
    <xf numFmtId="2" fontId="0" fillId="15" borderId="12" xfId="0" applyNumberFormat="1" applyFill="1" applyBorder="1"/>
    <xf numFmtId="0" fontId="16" fillId="30" borderId="8" xfId="0" applyFont="1" applyFill="1" applyBorder="1"/>
    <xf numFmtId="0" fontId="16" fillId="30" borderId="9" xfId="0" applyFont="1" applyFill="1" applyBorder="1"/>
    <xf numFmtId="0" fontId="16" fillId="30" borderId="9" xfId="0" applyFont="1" applyFill="1" applyBorder="1" applyAlignment="1">
      <alignment wrapText="1"/>
    </xf>
    <xf numFmtId="0" fontId="16" fillId="30" borderId="10" xfId="0" applyFont="1" applyFill="1" applyBorder="1"/>
    <xf numFmtId="0" fontId="0" fillId="10" borderId="13" xfId="0" applyFill="1" applyBorder="1"/>
    <xf numFmtId="0" fontId="0" fillId="18" borderId="7" xfId="0" applyFill="1" applyBorder="1"/>
    <xf numFmtId="0" fontId="0" fillId="15" borderId="7" xfId="0" applyFill="1" applyBorder="1"/>
    <xf numFmtId="2" fontId="0" fillId="15" borderId="14" xfId="0" applyNumberFormat="1" applyFill="1" applyBorder="1"/>
    <xf numFmtId="0" fontId="0" fillId="18" borderId="9" xfId="0" applyFill="1" applyBorder="1"/>
    <xf numFmtId="0" fontId="5" fillId="3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1"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2" formatCode="0.00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3999755851924192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theme="6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theme="0" tint="-0.14999847407452621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206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'[1]ALL CHARTS'!$B$5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l"/>
            </a:scene3d>
            <a:sp3d prstMaterial="plastic">
              <a:bevelT w="0" h="0"/>
            </a:sp3d>
          </c:spPr>
          <c:invertIfNegative val="0"/>
          <c:cat>
            <c:strRef>
              <c:f>'[1]ALL CHARTS'!$A$6:$A$22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</c:strCache>
            </c:strRef>
          </c:cat>
          <c:val>
            <c:numRef>
              <c:f>'[1]ALL CHARTS'!$B$6:$B$22</c:f>
              <c:numCache>
                <c:formatCode>General</c:formatCode>
                <c:ptCount val="17"/>
                <c:pt idx="0">
                  <c:v>592</c:v>
                </c:pt>
                <c:pt idx="1">
                  <c:v>630</c:v>
                </c:pt>
                <c:pt idx="2">
                  <c:v>527</c:v>
                </c:pt>
                <c:pt idx="3">
                  <c:v>545</c:v>
                </c:pt>
                <c:pt idx="4">
                  <c:v>582</c:v>
                </c:pt>
                <c:pt idx="5">
                  <c:v>476</c:v>
                </c:pt>
                <c:pt idx="6">
                  <c:v>458</c:v>
                </c:pt>
                <c:pt idx="7">
                  <c:v>448</c:v>
                </c:pt>
                <c:pt idx="8">
                  <c:v>686</c:v>
                </c:pt>
                <c:pt idx="9">
                  <c:v>641</c:v>
                </c:pt>
                <c:pt idx="10">
                  <c:v>696</c:v>
                </c:pt>
                <c:pt idx="11">
                  <c:v>474</c:v>
                </c:pt>
                <c:pt idx="12">
                  <c:v>689</c:v>
                </c:pt>
                <c:pt idx="13">
                  <c:v>446</c:v>
                </c:pt>
                <c:pt idx="14">
                  <c:v>623</c:v>
                </c:pt>
                <c:pt idx="15">
                  <c:v>506</c:v>
                </c:pt>
                <c:pt idx="16">
                  <c:v>613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0DE-4B08-91F7-B2CE829B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6487808"/>
        <c:axId val="196497792"/>
      </c:barChart>
      <c:lineChart>
        <c:grouping val="standard"/>
        <c:varyColors val="0"/>
        <c:ser>
          <c:idx val="1"/>
          <c:order val="1"/>
          <c:tx>
            <c:strRef>
              <c:f>'[1]ALL CHARTS'!$C$5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'[1]ALL CHARTS'!$A$6:$A$22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</c:strCache>
            </c:strRef>
          </c:cat>
          <c:val>
            <c:numRef>
              <c:f>'[1]ALL CHARTS'!$C$6:$C$22</c:f>
              <c:numCache>
                <c:formatCode>General</c:formatCode>
                <c:ptCount val="17"/>
                <c:pt idx="0">
                  <c:v>1162</c:v>
                </c:pt>
                <c:pt idx="1">
                  <c:v>4036</c:v>
                </c:pt>
                <c:pt idx="2">
                  <c:v>4215</c:v>
                </c:pt>
                <c:pt idx="3">
                  <c:v>5334</c:v>
                </c:pt>
                <c:pt idx="4">
                  <c:v>6048</c:v>
                </c:pt>
                <c:pt idx="5">
                  <c:v>1149</c:v>
                </c:pt>
                <c:pt idx="6">
                  <c:v>6069</c:v>
                </c:pt>
                <c:pt idx="7">
                  <c:v>5488</c:v>
                </c:pt>
                <c:pt idx="8">
                  <c:v>5980</c:v>
                </c:pt>
                <c:pt idx="9">
                  <c:v>5084</c:v>
                </c:pt>
                <c:pt idx="10">
                  <c:v>1373</c:v>
                </c:pt>
                <c:pt idx="11">
                  <c:v>1487</c:v>
                </c:pt>
                <c:pt idx="12">
                  <c:v>4203</c:v>
                </c:pt>
                <c:pt idx="13">
                  <c:v>4184</c:v>
                </c:pt>
                <c:pt idx="14">
                  <c:v>5166</c:v>
                </c:pt>
                <c:pt idx="15">
                  <c:v>1128</c:v>
                </c:pt>
                <c:pt idx="16">
                  <c:v>1235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0DE-4B08-91F7-B2CE829BF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487808"/>
        <c:axId val="196497792"/>
      </c:lineChart>
      <c:catAx>
        <c:axId val="19648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7792"/>
        <c:crosses val="autoZero"/>
        <c:auto val="1"/>
        <c:lblAlgn val="ctr"/>
        <c:lblOffset val="100"/>
        <c:noMultiLvlLbl val="0"/>
      </c:catAx>
      <c:valAx>
        <c:axId val="19649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8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3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'[1]ALL CHARTS'!$B$5</c:f>
              <c:strCache>
                <c:ptCount val="1"/>
                <c:pt idx="0">
                  <c:v>TARGET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958-40E5-8026-8211442821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958-40E5-8026-8211442821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958-40E5-8026-8211442821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958-40E5-8026-8211442821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958-40E5-8026-8211442821A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958-40E5-8026-8211442821A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958-40E5-8026-8211442821A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958-40E5-8026-8211442821A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958-40E5-8026-8211442821A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958-40E5-8026-8211442821A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958-40E5-8026-8211442821A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958-40E5-8026-8211442821A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958-40E5-8026-8211442821A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2958-40E5-8026-8211442821A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958-40E5-8026-8211442821A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2958-40E5-8026-8211442821A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2958-40E5-8026-8211442821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'[1]ALL CHARTS'!$A$6:$A$22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</c:strCache>
            </c:strRef>
          </c:cat>
          <c:val>
            <c:numRef>
              <c:f>'[1]ALL CHARTS'!$B$6:$B$22</c:f>
              <c:numCache>
                <c:formatCode>General</c:formatCode>
                <c:ptCount val="17"/>
                <c:pt idx="0">
                  <c:v>592</c:v>
                </c:pt>
                <c:pt idx="1">
                  <c:v>630</c:v>
                </c:pt>
                <c:pt idx="2">
                  <c:v>527</c:v>
                </c:pt>
                <c:pt idx="3">
                  <c:v>545</c:v>
                </c:pt>
                <c:pt idx="4">
                  <c:v>582</c:v>
                </c:pt>
                <c:pt idx="5">
                  <c:v>476</c:v>
                </c:pt>
                <c:pt idx="6">
                  <c:v>458</c:v>
                </c:pt>
                <c:pt idx="7">
                  <c:v>448</c:v>
                </c:pt>
                <c:pt idx="8">
                  <c:v>686</c:v>
                </c:pt>
                <c:pt idx="9">
                  <c:v>641</c:v>
                </c:pt>
                <c:pt idx="10">
                  <c:v>696</c:v>
                </c:pt>
                <c:pt idx="11">
                  <c:v>474</c:v>
                </c:pt>
                <c:pt idx="12">
                  <c:v>689</c:v>
                </c:pt>
                <c:pt idx="13">
                  <c:v>446</c:v>
                </c:pt>
                <c:pt idx="14">
                  <c:v>623</c:v>
                </c:pt>
                <c:pt idx="15">
                  <c:v>506</c:v>
                </c:pt>
                <c:pt idx="16">
                  <c:v>613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2958-40E5-8026-8211442821AB}"/>
            </c:ext>
          </c:extLst>
        </c:ser>
        <c:ser>
          <c:idx val="1"/>
          <c:order val="1"/>
          <c:tx>
            <c:strRef>
              <c:f>'[1]ALL CHARTS'!$C$5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2958-40E5-8026-8211442821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2958-40E5-8026-8211442821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2958-40E5-8026-8211442821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2958-40E5-8026-8211442821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2958-40E5-8026-8211442821A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2958-40E5-8026-8211442821A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2958-40E5-8026-8211442821A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2958-40E5-8026-8211442821A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2958-40E5-8026-8211442821A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6-2958-40E5-8026-8211442821A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8-2958-40E5-8026-8211442821A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A-2958-40E5-8026-8211442821A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C-2958-40E5-8026-8211442821A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E-2958-40E5-8026-8211442821A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0-2958-40E5-8026-8211442821A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2958-40E5-8026-8211442821A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l"/>
              </a:scene3d>
              <a:sp3d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2958-40E5-8026-8211442821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'[1]ALL CHARTS'!$A$6:$A$22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</c:strCache>
            </c:strRef>
          </c:cat>
          <c:val>
            <c:numRef>
              <c:f>'[1]ALL CHARTS'!$C$6:$C$22</c:f>
              <c:numCache>
                <c:formatCode>General</c:formatCode>
                <c:ptCount val="17"/>
                <c:pt idx="0">
                  <c:v>1162</c:v>
                </c:pt>
                <c:pt idx="1">
                  <c:v>4036</c:v>
                </c:pt>
                <c:pt idx="2">
                  <c:v>4215</c:v>
                </c:pt>
                <c:pt idx="3">
                  <c:v>5334</c:v>
                </c:pt>
                <c:pt idx="4">
                  <c:v>6048</c:v>
                </c:pt>
                <c:pt idx="5">
                  <c:v>1149</c:v>
                </c:pt>
                <c:pt idx="6">
                  <c:v>6069</c:v>
                </c:pt>
                <c:pt idx="7">
                  <c:v>5488</c:v>
                </c:pt>
                <c:pt idx="8">
                  <c:v>5980</c:v>
                </c:pt>
                <c:pt idx="9">
                  <c:v>5084</c:v>
                </c:pt>
                <c:pt idx="10">
                  <c:v>1373</c:v>
                </c:pt>
                <c:pt idx="11">
                  <c:v>1487</c:v>
                </c:pt>
                <c:pt idx="12">
                  <c:v>4203</c:v>
                </c:pt>
                <c:pt idx="13">
                  <c:v>4184</c:v>
                </c:pt>
                <c:pt idx="14">
                  <c:v>5166</c:v>
                </c:pt>
                <c:pt idx="15">
                  <c:v>1128</c:v>
                </c:pt>
                <c:pt idx="16">
                  <c:v>1235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5-2958-40E5-8026-8211442821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1"/>
          <c:order val="1"/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81A5-4956-9E44-785DA7872B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FB4-40D5-BC79-8C5258FF498D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1A5-4956-9E44-785DA7872BE6}"/>
              </c:ext>
            </c:extLst>
          </c:dPt>
          <c:val>
            <c:numRef>
              <c:f>SPEEDOMETER!$G$5:$G$7</c:f>
              <c:numCache>
                <c:formatCode>General</c:formatCode>
                <c:ptCount val="3"/>
                <c:pt idx="0">
                  <c:v>120</c:v>
                </c:pt>
                <c:pt idx="1">
                  <c:v>12</c:v>
                </c:pt>
                <c:pt idx="2">
                  <c:v>360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81A5-4956-9E44-785DA787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80"/>
      </c:pieChar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FB4-40D5-BC79-8C5258FF49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FB4-40D5-BC79-8C5258FF49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FB4-40D5-BC79-8C5258FF49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FB4-40D5-BC79-8C5258FF498D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81A5-4956-9E44-785DA7872BE6}"/>
              </c:ext>
            </c:extLst>
          </c:dPt>
          <c:val>
            <c:numRef>
              <c:f>SPEEDOMETER!$B$5:$B$9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45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81A5-4956-9E44-785DA7872BE6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81A5-4956-9E44-785DA7872BE6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81A5-4956-9E44-785DA7872BE6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81A5-4956-9E44-785DA7872BE6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81A5-4956-9E44-785DA7872BE6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81A5-4956-9E44-785DA7872BE6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81A5-4956-9E44-785DA7872BE6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FB4-40D5-BC79-8C5258FF498D}"/>
              </c:ext>
            </c:extLst>
          </c:dP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81A5-4956-9E44-785DA7872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8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8B4AFF82-D879-4D29-8725-09731012DEB9}" formatIdx="0">
          <cx:tx>
            <cx:txData>
              <cx:f>_xlchart.v1.0</cx:f>
              <cx:v>TOTAL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E3D79B14-5645-49A6-B0A9-12B2673B82FC}" formatIdx="1">
          <cx:axisId val="2"/>
        </cx:series>
        <cx:series layoutId="clusteredColumn" hidden="1" uniqueId="{90389DDB-2A34-4D44-B93A-788365494888}" formatIdx="2">
          <cx:tx>
            <cx:txData>
              <cx:f>_xlchart.v1.2</cx:f>
              <cx:v>AVG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1896093A-7194-4013-A53B-9B96887EDB98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  <cx:data id="1">
      <cx:strDim type="cat">
        <cx:f>_xlchart.v1.4</cx:f>
      </cx:strDim>
      <cx:numDim type="val">
        <cx:f>_xlchart.v1.8</cx:f>
      </cx:numDim>
    </cx:data>
    <cx:data id="2">
      <cx:strDim type="cat">
        <cx:f>_xlchart.v1.4</cx:f>
      </cx:strDim>
      <cx:numDim type="val">
        <cx:f>_xlchart.v1.10</cx:f>
      </cx:numDim>
    </cx:data>
  </cx:chartData>
  <cx:chart>
    <cx:title pos="t" align="ctr" overlay="0"/>
    <cx:plotArea>
      <cx:plotAreaRegion>
        <cx:series layoutId="clusteredColumn" uniqueId="{868914C2-C3A7-4F1C-976F-987833B2412B}" formatIdx="0">
          <cx:tx>
            <cx:txData>
              <cx:f>_xlchart.v1.5</cx:f>
              <cx:v>SALARY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C51AEB9-961A-428E-A44B-1500174FB231}" formatIdx="1">
          <cx:axisId val="2"/>
        </cx:series>
        <cx:series layoutId="clusteredColumn" hidden="1" uniqueId="{B0EDF3AF-FA08-45EA-882A-2E0B392EBBAA}" formatIdx="2">
          <cx:tx>
            <cx:txData>
              <cx:f>_xlchart.v1.7</cx:f>
              <cx:v>DA</cx:v>
            </cx:txData>
          </cx:tx>
          <cx:dataId val="1"/>
          <cx:layoutPr>
            <cx:aggregation/>
          </cx:layoutPr>
          <cx:axisId val="1"/>
        </cx:series>
        <cx:series layoutId="paretoLine" ownerIdx="2" uniqueId="{962B67E6-0EC1-483C-BDF8-057EB2BDF195}" formatIdx="3">
          <cx:axisId val="2"/>
        </cx:series>
        <cx:series layoutId="clusteredColumn" hidden="1" uniqueId="{3B282E3B-361E-4AB1-8800-83BB95B74555}" formatIdx="4">
          <cx:tx>
            <cx:txData>
              <cx:f>_xlchart.v1.9</cx:f>
              <cx:v>PERCENTAGE</cx:v>
            </cx:txData>
          </cx:tx>
          <cx:dataId val="2"/>
          <cx:layoutPr>
            <cx:aggregation/>
          </cx:layoutPr>
          <cx:axisId val="1"/>
        </cx:series>
        <cx:series layoutId="paretoLine" ownerIdx="4" uniqueId="{CA3C61AC-00E4-41C9-A131-011BA0E4B552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32</xdr:row>
      <xdr:rowOff>85726</xdr:rowOff>
    </xdr:from>
    <xdr:to>
      <xdr:col>13</xdr:col>
      <xdr:colOff>371475</xdr:colOff>
      <xdr:row>43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A409289-C902-4086-AFB9-732B31165363}"/>
            </a:ext>
          </a:extLst>
        </xdr:cNvPr>
        <xdr:cNvSpPr txBox="1"/>
      </xdr:nvSpPr>
      <xdr:spPr>
        <a:xfrm>
          <a:off x="104775" y="6181726"/>
          <a:ext cx="5248275" cy="2181224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600" b="1"/>
            <a:t>1. FIND THE TOTAL MARKS &amp; AVERAGE</a:t>
          </a:r>
          <a:r>
            <a:rPr lang="en-US" sz="1600" b="1" baseline="0"/>
            <a:t> </a:t>
          </a:r>
          <a:r>
            <a:rPr lang="en-US" sz="1600" b="1"/>
            <a:t>OF EACH STUDENT</a:t>
          </a:r>
        </a:p>
        <a:p>
          <a:r>
            <a:rPr lang="en-US" sz="1600" b="1"/>
            <a:t>2.CREATE PARETOS</a:t>
          </a:r>
          <a:r>
            <a:rPr lang="en-US" sz="1600" b="1" baseline="0"/>
            <a:t> CHART</a:t>
          </a:r>
        </a:p>
        <a:p>
          <a:r>
            <a:rPr lang="en-US" sz="1600" b="1" baseline="0"/>
            <a:t>3. SHOW THE TOTAL VALUE IN Y-AXIS AND AVG VALUE IN Z-AXIS</a:t>
          </a:r>
        </a:p>
        <a:p>
          <a:r>
            <a:rPr lang="en-US" sz="1600" b="1" baseline="0"/>
            <a:t>4. FIND GRADE USING "IF" FUNCTION - AVERAGE&gt;75 THEN "A", GRADE OTHERWISE "B".</a:t>
          </a:r>
        </a:p>
        <a:p>
          <a:r>
            <a:rPr lang="en-US" sz="1600" b="1" baseline="0"/>
            <a:t>5. FIND OUT MIN VALUE &amp; MAX VALUE.</a:t>
          </a:r>
          <a:endParaRPr lang="en-US" sz="1600" b="1"/>
        </a:p>
      </xdr:txBody>
    </xdr:sp>
    <xdr:clientData/>
  </xdr:twoCellAnchor>
  <xdr:twoCellAnchor>
    <xdr:from>
      <xdr:col>18</xdr:col>
      <xdr:colOff>311253</xdr:colOff>
      <xdr:row>14</xdr:row>
      <xdr:rowOff>80571</xdr:rowOff>
    </xdr:from>
    <xdr:to>
      <xdr:col>26</xdr:col>
      <xdr:colOff>499672</xdr:colOff>
      <xdr:row>31</xdr:row>
      <xdr:rowOff>135326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B82F47F-D9C6-72D3-3840-9141CC54F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8496403" y="2658671"/>
              <a:ext cx="5554169" cy="3185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30</xdr:row>
      <xdr:rowOff>47625</xdr:rowOff>
    </xdr:from>
    <xdr:to>
      <xdr:col>8</xdr:col>
      <xdr:colOff>180976</xdr:colOff>
      <xdr:row>42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84121E6-5E37-4E87-90C9-8B307F7BC3AA}"/>
            </a:ext>
          </a:extLst>
        </xdr:cNvPr>
        <xdr:cNvSpPr txBox="1"/>
      </xdr:nvSpPr>
      <xdr:spPr>
        <a:xfrm>
          <a:off x="38101" y="6248400"/>
          <a:ext cx="5410200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Q-1) CALCULATE TOTAL MARKS OF ALL STUDENTS</a:t>
          </a:r>
          <a:endParaRPr lang="en-US" sz="1200"/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Q-2) CALCULATE PERCENTAGE OF ALL STUDENT</a:t>
          </a:r>
          <a:r>
            <a:rPr lang="en-US" sz="1200"/>
            <a:t>S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Q-3) CALCULATE MINIMUM AND MAXIMUM OF ALL STUDENTS</a:t>
          </a:r>
          <a:endParaRPr lang="en-US" sz="1200"/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Q-4) CALCULATE RANK OF ALL STUDENT ON THE BASIS OF PERCENTAGE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Q-5) CALCULATE RESULT  (PASS, FAIL) ON THE BASIS OF PERCENTAGE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Q-6) CALCULATE GRADE (A,B,C,D) ON THE BASIS OF PERCENTAGE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Q-7) HIGHLIGHT WITH RED COLOR WHERE SUBJECT MARKS IS LESS THAN 40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Q-8) HIGHLIGHT WITH GREEN COLOR WHERE SUBJECT MARKS IS GREATER THAN 80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Q-9) HIGHLIGHT WITH BLUE COLOR WHERE SUBJECT MARKS IS BETWEEN 40 TO 80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Q-10) HIGHLIGHT TOP 3 STUDENT WITH BLUE COLOR 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Q-11) HIGHLIGHT BOTTOM 3 STUDENT WITH RED COLOR</a:t>
          </a:r>
          <a:r>
            <a:rPr lang="en-US" sz="1200"/>
            <a:t> </a:t>
          </a: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Q-12) CREATE CHART</a:t>
          </a:r>
          <a:r>
            <a:rPr lang="en-US" sz="1200"/>
            <a:t>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</xdr:rowOff>
    </xdr:from>
    <xdr:to>
      <xdr:col>6</xdr:col>
      <xdr:colOff>409575</xdr:colOff>
      <xdr:row>38</xdr:row>
      <xdr:rowOff>19051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3256CF7B-A28D-4BD2-8ADD-E1523FC0E926}"/>
            </a:ext>
          </a:extLst>
        </xdr:cNvPr>
        <xdr:cNvSpPr txBox="1"/>
      </xdr:nvSpPr>
      <xdr:spPr>
        <a:xfrm>
          <a:off x="0" y="6096001"/>
          <a:ext cx="5105400" cy="1162050"/>
        </a:xfrm>
        <a:prstGeom prst="rect">
          <a:avLst/>
        </a:prstGeom>
        <a:ln/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1.CALCULATE</a:t>
          </a:r>
          <a:r>
            <a:rPr lang="en-US" sz="1800" b="1" baseline="0">
              <a:solidFill>
                <a:schemeClr val="bg1"/>
              </a:solidFill>
            </a:rPr>
            <a:t> THE PERCENTAGE</a:t>
          </a:r>
          <a:endParaRPr lang="en-US" sz="1800" b="1">
            <a:solidFill>
              <a:schemeClr val="bg1"/>
            </a:solidFill>
          </a:endParaRPr>
        </a:p>
        <a:p>
          <a:r>
            <a:rPr lang="en-US" sz="1800" b="1">
              <a:solidFill>
                <a:schemeClr val="bg1"/>
              </a:solidFill>
            </a:rPr>
            <a:t>1.CREATE</a:t>
          </a:r>
          <a:r>
            <a:rPr lang="en-US" sz="1800" b="1" baseline="0">
              <a:solidFill>
                <a:schemeClr val="bg1"/>
              </a:solidFill>
            </a:rPr>
            <a:t> THE PARETOS CHART IN 2D-COLUMN</a:t>
          </a:r>
        </a:p>
        <a:p>
          <a:r>
            <a:rPr lang="en-US" sz="1800" b="1" baseline="0">
              <a:solidFill>
                <a:schemeClr val="bg1"/>
              </a:solidFill>
            </a:rPr>
            <a:t>2. SHOW DA VALUE IN Z-AXIS BY LINE CHART TYPE</a:t>
          </a:r>
        </a:p>
        <a:p>
          <a:endParaRPr lang="en-US" sz="1200" b="1"/>
        </a:p>
      </xdr:txBody>
    </xdr:sp>
    <xdr:clientData/>
  </xdr:twoCellAnchor>
  <xdr:twoCellAnchor>
    <xdr:from>
      <xdr:col>10</xdr:col>
      <xdr:colOff>14652</xdr:colOff>
      <xdr:row>13</xdr:row>
      <xdr:rowOff>79130</xdr:rowOff>
    </xdr:from>
    <xdr:to>
      <xdr:col>18</xdr:col>
      <xdr:colOff>439615</xdr:colOff>
      <xdr:row>30</xdr:row>
      <xdr:rowOff>39077</xdr:rowOff>
    </xdr:to>
    <mc:AlternateContent xmlns:mc="http://schemas.openxmlformats.org/markup-compatibility/2006">
      <mc:Choice xmlns:cx1="http://schemas.microsoft.com/office/drawing/2015/9/8/chartex" xmlns="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B98BDF5-488A-9B91-D04E-48B8C323E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3" name="Rectangle 2"/>
            <xdr:cNvSpPr>
              <a:spLocks noTextEdit="1"/>
            </xdr:cNvSpPr>
          </xdr:nvSpPr>
          <xdr:spPr>
            <a:xfrm>
              <a:off x="7317152" y="2498480"/>
              <a:ext cx="5301763" cy="30904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161925</xdr:rowOff>
    </xdr:from>
    <xdr:to>
      <xdr:col>12</xdr:col>
      <xdr:colOff>180975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CD07E3B-EF45-4A46-BA68-67AAF1101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12</xdr:col>
      <xdr:colOff>228600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7A2D677A-52BD-4BE2-9C0D-DB4A23A92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9</xdr:row>
      <xdr:rowOff>85725</xdr:rowOff>
    </xdr:from>
    <xdr:to>
      <xdr:col>6</xdr:col>
      <xdr:colOff>447675</xdr:colOff>
      <xdr:row>13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E22A412F-3782-44E9-8B85-AA1392C205B2}"/>
            </a:ext>
          </a:extLst>
        </xdr:cNvPr>
        <xdr:cNvSpPr txBox="1"/>
      </xdr:nvSpPr>
      <xdr:spPr>
        <a:xfrm>
          <a:off x="2143125" y="1838325"/>
          <a:ext cx="240982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CREATE A</a:t>
          </a:r>
          <a:r>
            <a:rPr lang="en-US" sz="1100" baseline="0"/>
            <a:t> SPEEDO METER</a:t>
          </a:r>
          <a:endParaRPr lang="en-US" sz="1100"/>
        </a:p>
      </xdr:txBody>
    </xdr:sp>
    <xdr:clientData/>
  </xdr:twoCellAnchor>
  <xdr:twoCellAnchor>
    <xdr:from>
      <xdr:col>8</xdr:col>
      <xdr:colOff>325882</xdr:colOff>
      <xdr:row>8</xdr:row>
      <xdr:rowOff>4606</xdr:rowOff>
    </xdr:from>
    <xdr:to>
      <xdr:col>16</xdr:col>
      <xdr:colOff>36886</xdr:colOff>
      <xdr:row>22</xdr:row>
      <xdr:rowOff>91153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CE25EAC-CF6B-A5AD-8949-159293CE3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27</xdr:row>
      <xdr:rowOff>142876</xdr:rowOff>
    </xdr:from>
    <xdr:to>
      <xdr:col>8</xdr:col>
      <xdr:colOff>9525</xdr:colOff>
      <xdr:row>35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14526875-1233-41B5-A4BC-94DE44FDBD2A}"/>
            </a:ext>
          </a:extLst>
        </xdr:cNvPr>
        <xdr:cNvSpPr txBox="1"/>
      </xdr:nvSpPr>
      <xdr:spPr>
        <a:xfrm>
          <a:off x="1" y="7772401"/>
          <a:ext cx="5448299" cy="1504949"/>
        </a:xfrm>
        <a:prstGeom prst="rect">
          <a:avLst/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400" b="1"/>
            <a:t>1.CALCULATE THE TOTAL AMOUNT</a:t>
          </a:r>
        </a:p>
        <a:p>
          <a:r>
            <a:rPr lang="en-US" sz="1400" b="1"/>
            <a:t>2. SHOW</a:t>
          </a:r>
          <a:r>
            <a:rPr lang="en-US" sz="1400" b="1" baseline="0"/>
            <a:t> THE DATA BY DASHBOARD IN LINE CHART</a:t>
          </a:r>
        </a:p>
        <a:p>
          <a:r>
            <a:rPr lang="en-US" sz="1400" b="1" baseline="0"/>
            <a:t>3. HIGHLIGHT THE VALUE BETWEEN 40 - 90 WITH BLUE COLOR.</a:t>
          </a:r>
        </a:p>
        <a:p>
          <a:r>
            <a:rPr lang="en-US" sz="1400" b="1" baseline="0"/>
            <a:t>4.  CALCULATE NEW RATE BY INCREASE THE RATE OF PENDRIVE BY 60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 CALCULATE NEW RATE BY DECREASE THE RATE OF COMPUTER BY 70 </a:t>
          </a:r>
          <a:endParaRPr lang="en-US" sz="1400" b="1" baseline="0"/>
        </a:p>
        <a:p>
          <a:r>
            <a:rPr lang="en-US" sz="1400" b="1" baseline="0"/>
            <a:t>6. CALCULATE NEW RATE.</a:t>
          </a:r>
        </a:p>
        <a:p>
          <a:r>
            <a:rPr lang="en-US" sz="1400" b="1" baseline="0"/>
            <a:t>7. CLACULATE THE TOTAL SALES WITH NEW RATE.</a:t>
          </a:r>
        </a:p>
        <a:p>
          <a:endParaRPr lang="en-US" sz="1400" b="1" baseline="0"/>
        </a:p>
        <a:p>
          <a:endParaRPr lang="en-US" sz="1400" b="1" baseline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31</xdr:row>
      <xdr:rowOff>85725</xdr:rowOff>
    </xdr:from>
    <xdr:to>
      <xdr:col>8</xdr:col>
      <xdr:colOff>390525</xdr:colOff>
      <xdr:row>43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D39B74A6-799D-405C-BF1C-584B1742BD6B}"/>
            </a:ext>
          </a:extLst>
        </xdr:cNvPr>
        <xdr:cNvSpPr txBox="1"/>
      </xdr:nvSpPr>
      <xdr:spPr>
        <a:xfrm>
          <a:off x="28575" y="6000750"/>
          <a:ext cx="5238750" cy="2333625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2000" b="1"/>
            <a:t>1. find the total</a:t>
          </a:r>
          <a:r>
            <a:rPr lang="en-US" sz="2000" b="1" baseline="0"/>
            <a:t> sales</a:t>
          </a:r>
          <a:endParaRPr lang="en-US" sz="2000" b="1"/>
        </a:p>
        <a:p>
          <a:r>
            <a:rPr lang="en-US" sz="2000" b="1"/>
            <a:t>2. create the  column chart by the dash</a:t>
          </a:r>
          <a:r>
            <a:rPr lang="en-US" sz="2000" b="1" baseline="0"/>
            <a:t> board </a:t>
          </a:r>
        </a:p>
        <a:p>
          <a:r>
            <a:rPr lang="en-US" sz="2000" b="1" baseline="0"/>
            <a:t>3. select the product name then show the value in chart</a:t>
          </a:r>
        </a:p>
        <a:p>
          <a:r>
            <a:rPr lang="en-US" sz="2000" b="1" baseline="0"/>
            <a:t>4. calculate the sum of jan, mar, jun, sep by sumif function.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21</xdr:row>
      <xdr:rowOff>133350</xdr:rowOff>
    </xdr:from>
    <xdr:to>
      <xdr:col>13</xdr:col>
      <xdr:colOff>419100</xdr:colOff>
      <xdr:row>29</xdr:row>
      <xdr:rowOff>62948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E447D8F3-BA69-4D44-8EC3-DBAC5EFA8136}"/>
            </a:ext>
          </a:extLst>
        </xdr:cNvPr>
        <xdr:cNvSpPr txBox="1"/>
      </xdr:nvSpPr>
      <xdr:spPr>
        <a:xfrm>
          <a:off x="209550" y="4143375"/>
          <a:ext cx="8134350" cy="1453598"/>
        </a:xfrm>
        <a:prstGeom prst="rect">
          <a:avLst/>
        </a:prstGeom>
        <a:ln/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800" b="1"/>
            <a:t>1. find</a:t>
          </a:r>
          <a:r>
            <a:rPr lang="en-US" sz="1800" b="1" baseline="0"/>
            <a:t> out the total</a:t>
          </a:r>
          <a:r>
            <a:rPr lang="en-US" sz="1800" b="1"/>
            <a:t> .</a:t>
          </a:r>
        </a:p>
        <a:p>
          <a:r>
            <a:rPr lang="en-US" sz="1800" b="1"/>
            <a:t>2.find the record by match and index function</a:t>
          </a:r>
        </a:p>
        <a:p>
          <a:r>
            <a:rPr lang="en-US" sz="1800" b="1"/>
            <a:t>3. if </a:t>
          </a:r>
          <a:r>
            <a:rPr lang="en-US" sz="1800" b="1" baseline="0"/>
            <a:t> we enter the product name then show  the month name, sales value</a:t>
          </a:r>
        </a:p>
        <a:p>
          <a:r>
            <a:rPr lang="en-US" sz="1800" b="1" baseline="0"/>
            <a:t>4. find out the column no. &amp; row no. by match funtion.</a:t>
          </a:r>
          <a:endParaRPr lang="en-US" sz="18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57151</xdr:rowOff>
    </xdr:from>
    <xdr:to>
      <xdr:col>6</xdr:col>
      <xdr:colOff>38100</xdr:colOff>
      <xdr:row>37</xdr:row>
      <xdr:rowOff>114301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EEADFA8-B767-4448-BCBF-2EDE1DC4E6FE}"/>
            </a:ext>
          </a:extLst>
        </xdr:cNvPr>
        <xdr:cNvSpPr txBox="1"/>
      </xdr:nvSpPr>
      <xdr:spPr>
        <a:xfrm>
          <a:off x="0" y="5781676"/>
          <a:ext cx="5305425" cy="1390650"/>
        </a:xfrm>
        <a:prstGeom prst="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l"/>
          <a:r>
            <a:rPr lang="en-US" sz="12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1.CALCULATE THE DEP AMOUNT BY STRAIGHT</a:t>
          </a:r>
        </a:p>
        <a:p>
          <a:pPr algn="l"/>
          <a:r>
            <a:rPr lang="en-US" sz="12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LINE METHOD</a:t>
          </a:r>
        </a:p>
        <a:p>
          <a:pPr algn="l"/>
          <a:r>
            <a:rPr lang="en-US" sz="14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2. </a:t>
          </a:r>
          <a:r>
            <a:rPr lang="en-US" sz="14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 THE DEP AMOUNT BY  DIMINISHING </a:t>
          </a:r>
        </a:p>
        <a:p>
          <a:pPr algn="l"/>
          <a:r>
            <a:rPr lang="en-US" sz="14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BALANCE </a:t>
          </a:r>
          <a:r>
            <a:rPr lang="en-US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METHOD</a:t>
          </a:r>
        </a:p>
        <a:p>
          <a:r>
            <a:rPr lang="en-US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en-US" sz="14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 THE DEP AMOUNT BY  DOUBLE DIMINISHING BALANCE </a:t>
          </a:r>
          <a:r>
            <a:rPr lang="en-US" sz="14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METHOD</a:t>
          </a:r>
          <a:endParaRPr lang="en-US" sz="18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23</xdr:row>
      <xdr:rowOff>171450</xdr:rowOff>
    </xdr:from>
    <xdr:to>
      <xdr:col>4</xdr:col>
      <xdr:colOff>523876</xdr:colOff>
      <xdr:row>27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6D1570CA-4AEC-4276-8A96-1D09B9BE5868}"/>
            </a:ext>
          </a:extLst>
        </xdr:cNvPr>
        <xdr:cNvSpPr txBox="1"/>
      </xdr:nvSpPr>
      <xdr:spPr>
        <a:xfrm>
          <a:off x="1" y="8553450"/>
          <a:ext cx="5448300" cy="752475"/>
        </a:xfrm>
        <a:prstGeom prst="rect">
          <a:avLst/>
        </a:prstGeom>
        <a:ln/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wrap="square" rtlCol="0" anchor="t"/>
        <a:lstStyle/>
        <a:p>
          <a:pPr algn="ctr"/>
          <a:r>
            <a:rPr lang="en-US" sz="1400" b="1"/>
            <a:t>FIND</a:t>
          </a:r>
          <a:r>
            <a:rPr lang="en-US" sz="1400" b="1" baseline="0"/>
            <a:t> THE INTEREST AMOUNT PAID DURING A SPECIFIC PERIOD OF AN INVESTMENT</a:t>
          </a:r>
          <a:endParaRPr lang="en-US" sz="14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447622</xdr:colOff>
      <xdr:row>20</xdr:row>
      <xdr:rowOff>166558</xdr:rowOff>
    </xdr:from>
    <xdr:to>
      <xdr:col>21</xdr:col>
      <xdr:colOff>607829</xdr:colOff>
      <xdr:row>27</xdr:row>
      <xdr:rowOff>10411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F3F8A924-333D-4495-86EB-B27D4C339D08}"/>
            </a:ext>
          </a:extLst>
        </xdr:cNvPr>
        <xdr:cNvSpPr txBox="1"/>
      </xdr:nvSpPr>
      <xdr:spPr>
        <a:xfrm>
          <a:off x="8338278" y="4642788"/>
          <a:ext cx="8144551" cy="1415738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wrap="square" rtlCol="0" anchor="t"/>
        <a:lstStyle/>
        <a:p>
          <a:r>
            <a:rPr lang="en-US" sz="1100" b="1"/>
            <a:t>1. MATCH THE PRODUCT ID FROM ARRAY</a:t>
          </a:r>
          <a:r>
            <a:rPr lang="en-US" sz="1100" b="1" baseline="0"/>
            <a:t> TABLE1 AND GIVE THE  PRODUCT DESC</a:t>
          </a:r>
        </a:p>
        <a:p>
          <a:r>
            <a:rPr lang="en-US" sz="1100" b="1"/>
            <a:t>2. MATCH THE MONTH YEAR DATA FROM ARRAY</a:t>
          </a:r>
          <a:r>
            <a:rPr lang="en-US" sz="1100" b="1" baseline="0"/>
            <a:t> TABLE 2 AND GIVE THE MONTH YEAR VALUE BY VLOOKUP FUNCTION</a:t>
          </a:r>
        </a:p>
        <a:p>
          <a:r>
            <a:rPr lang="en-US" sz="1100" b="1" baseline="0"/>
            <a:t>3. TRANPOSE THIS DATA INTO HORIZONTAL.</a:t>
          </a: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MATCH THE PRODUCT ID FROM ARRAY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TABLE1 AND GIVE THE  PRODUCT DESC</a:t>
          </a:r>
          <a:endParaRPr lang="en-IN" sz="1400">
            <a:effectLst/>
          </a:endParaRPr>
        </a:p>
        <a:p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MATCH THE MONTH YEAR DATA FROM ARRAY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TABLE 2 AND GIVE THW MONTH YEAR VALUE BY HLOOKUP FUNCTION</a:t>
          </a:r>
          <a:endParaRPr lang="en-IN" sz="1400">
            <a:effectLst/>
          </a:endParaRPr>
        </a:p>
        <a:p>
          <a:endParaRPr lang="en-US" sz="1400" b="1" baseline="0"/>
        </a:p>
        <a:p>
          <a:endParaRPr lang="en-US" sz="14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32</xdr:row>
      <xdr:rowOff>19049</xdr:rowOff>
    </xdr:from>
    <xdr:to>
      <xdr:col>13</xdr:col>
      <xdr:colOff>256702</xdr:colOff>
      <xdr:row>40</xdr:row>
      <xdr:rowOff>175639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EFAF2C4E-DDB1-4A9B-9807-1486D4A0E590}"/>
            </a:ext>
          </a:extLst>
        </xdr:cNvPr>
        <xdr:cNvSpPr txBox="1"/>
      </xdr:nvSpPr>
      <xdr:spPr>
        <a:xfrm>
          <a:off x="342899" y="7287772"/>
          <a:ext cx="5426143" cy="1994037"/>
        </a:xfrm>
        <a:prstGeom prst="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800" b="1"/>
            <a:t>1.CALCULATE THE TOTAL</a:t>
          </a:r>
          <a:r>
            <a:rPr lang="en-US" sz="1800" b="1" baseline="0"/>
            <a:t> &amp; AVERAGE.</a:t>
          </a:r>
        </a:p>
        <a:p>
          <a:r>
            <a:rPr lang="en-US" sz="1800" b="1" baseline="0"/>
            <a:t>2.CONVERT THIS DATA INTO TABLE.</a:t>
          </a:r>
        </a:p>
        <a:p>
          <a:r>
            <a:rPr lang="en-US" sz="1800" b="1" baseline="0"/>
            <a:t>3.APPLY FILTER WITH SHORTCUT KEY</a:t>
          </a:r>
        </a:p>
        <a:p>
          <a:r>
            <a:rPr lang="en-US" sz="1800" b="1" baseline="0"/>
            <a:t>4.SHOW THE DATA OF 1991,2010,2019, 2022 WITH ADVANCE FILTER</a:t>
          </a:r>
        </a:p>
        <a:p>
          <a:r>
            <a:rPr lang="en-US" sz="1200" b="1" baseline="0"/>
            <a:t> 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44</xdr:row>
      <xdr:rowOff>47625</xdr:rowOff>
    </xdr:from>
    <xdr:to>
      <xdr:col>5</xdr:col>
      <xdr:colOff>22778</xdr:colOff>
      <xdr:row>49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2A3A357-2461-4A16-B4F1-EE1CCF53DFB9}"/>
            </a:ext>
          </a:extLst>
        </xdr:cNvPr>
        <xdr:cNvSpPr txBox="1"/>
      </xdr:nvSpPr>
      <xdr:spPr>
        <a:xfrm>
          <a:off x="19050" y="8477250"/>
          <a:ext cx="4823378" cy="962025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1.FIND THE</a:t>
          </a:r>
          <a:r>
            <a:rPr lang="en-US" sz="1200" b="1" baseline="0"/>
            <a:t> TOTAL SALES IN RS BY PRODUCT FUNCTION</a:t>
          </a:r>
        </a:p>
        <a:p>
          <a:r>
            <a:rPr lang="en-US" sz="1200" b="1" baseline="0"/>
            <a:t>2.FIND THE TOTAL SALES OF COMPUTER, OVEN, VCR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/>
            <a:t>3</a:t>
          </a:r>
          <a:r>
            <a:rPr lang="en-US" sz="1400" b="1" baseline="0"/>
            <a:t>.</a:t>
          </a:r>
          <a:r>
            <a:rPr lang="en-US" sz="1200" b="1" baseline="0"/>
            <a:t>FIND THE TOTAL SALES OF ALL SALESMAN</a:t>
          </a:r>
          <a:r>
            <a:rPr lang="en-US" sz="12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>
            <a:solidFill>
              <a:schemeClr val="bg1"/>
            </a:solidFill>
            <a:effectLst/>
          </a:endParaRPr>
        </a:p>
        <a:p>
          <a:endParaRPr lang="en-US" sz="1200" b="1" baseline="0"/>
        </a:p>
        <a:p>
          <a:endParaRPr lang="en-US" sz="12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95250</xdr:rowOff>
    </xdr:from>
    <xdr:to>
      <xdr:col>9</xdr:col>
      <xdr:colOff>409574</xdr:colOff>
      <xdr:row>36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D5CDA438-67F7-42BC-9090-B725F6AB967E}"/>
            </a:ext>
          </a:extLst>
        </xdr:cNvPr>
        <xdr:cNvSpPr txBox="1"/>
      </xdr:nvSpPr>
      <xdr:spPr>
        <a:xfrm>
          <a:off x="0" y="6858000"/>
          <a:ext cx="5514974" cy="1552575"/>
        </a:xfrm>
        <a:prstGeom prst="rect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1.CALCULATE THE TOTAL</a:t>
          </a:r>
          <a:r>
            <a:rPr lang="en-US" sz="1200" b="1" baseline="0"/>
            <a:t> SALES QTY BY SUM FUNCTION</a:t>
          </a:r>
        </a:p>
        <a:p>
          <a:r>
            <a:rPr lang="en-US" sz="1200" b="1" baseline="0"/>
            <a:t>2.TOTAL SALES BY PRODUCT FUNCTION OF TOTAL SALES AND RATE</a:t>
          </a:r>
        </a:p>
        <a:p>
          <a:r>
            <a:rPr lang="en-US" sz="1200" b="1" baseline="0"/>
            <a:t>3. MAKE A NEW COLUMN OF TARGET AND GIVE THE VALUE OF 600000</a:t>
          </a:r>
        </a:p>
        <a:p>
          <a:r>
            <a:rPr lang="en-US" sz="1200" b="1" baseline="0"/>
            <a:t>4. IF SALES IS GREATER THE  TARGET  THEN TARGET ACHIVED OTHERWISE NOT ACHIVED.</a:t>
          </a:r>
        </a:p>
        <a:p>
          <a:r>
            <a:rPr lang="en-US" sz="1200" b="1" baseline="0"/>
            <a:t>5. HOW MANY ITEMS ACHIVED TARGET?</a:t>
          </a:r>
        </a:p>
        <a:p>
          <a:endParaRPr lang="en-US" sz="12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7</xdr:col>
      <xdr:colOff>352425</xdr:colOff>
      <xdr:row>19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4406C647-B2D6-43C1-86B8-F8BC755784B7}"/>
            </a:ext>
          </a:extLst>
        </xdr:cNvPr>
        <xdr:cNvSpPr txBox="1"/>
      </xdr:nvSpPr>
      <xdr:spPr>
        <a:xfrm>
          <a:off x="514350" y="4000500"/>
          <a:ext cx="4362450" cy="552450"/>
        </a:xfrm>
        <a:prstGeom prst="rect">
          <a:avLst/>
        </a:prstGeom>
        <a:ln/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200" b="1"/>
            <a:t>CALCULATE NET SALARY AND TOTAL OF THE ABOVE DATA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27</xdr:row>
      <xdr:rowOff>47625</xdr:rowOff>
    </xdr:from>
    <xdr:to>
      <xdr:col>12</xdr:col>
      <xdr:colOff>299357</xdr:colOff>
      <xdr:row>34</xdr:row>
      <xdr:rowOff>154214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BBCADDE1-796A-46AB-A62A-B45F4EACD101}"/>
            </a:ext>
          </a:extLst>
        </xdr:cNvPr>
        <xdr:cNvSpPr txBox="1"/>
      </xdr:nvSpPr>
      <xdr:spPr>
        <a:xfrm>
          <a:off x="66675" y="5336268"/>
          <a:ext cx="8932182" cy="1376589"/>
        </a:xfrm>
        <a:prstGeom prst="snip2Same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1"/>
              </a:solidFill>
            </a:rPr>
            <a:t>Calculate The Total Consumption &amp; Average of the Units</a:t>
          </a:r>
        </a:p>
        <a:p>
          <a:r>
            <a:rPr lang="en-US" sz="1600">
              <a:solidFill>
                <a:schemeClr val="tx1"/>
              </a:solidFill>
            </a:rPr>
            <a:t>Cosumption of Monthly Electric Supply  For The Following Months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v/Desktop/ANUJSINGHPVT%20LT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 page"/>
      <sheetName val="purchase sheet"/>
      <sheetName val="sale sheet"/>
      <sheetName val="stock sheet"/>
      <sheetName val="PAYRLL"/>
      <sheetName val="Sheet4"/>
      <sheetName val="if function (or, not, and )"/>
      <sheetName val="Sheet39"/>
      <sheetName val="lo"/>
      <sheetName val="FINANCIAL SHEET"/>
      <sheetName val="ALL CHARTS"/>
      <sheetName val="IFERROR,AVERAGEIFS,SUM...ETC"/>
      <sheetName val="ADVANCE FILTER REPORTS"/>
      <sheetName val="Sheet13"/>
      <sheetName val="Sheet14"/>
      <sheetName val="SALE REPORT"/>
      <sheetName val="Sheet2"/>
      <sheetName val="DASHBOARD"/>
      <sheetName val="SALE LENGHTY SHEET"/>
      <sheetName val="Sheet16"/>
      <sheetName val="Sheet3"/>
      <sheetName val="Sheet6"/>
      <sheetName val="Sheet7"/>
      <sheetName val="Sheet9"/>
      <sheetName val="Sheet11"/>
      <sheetName val="Sheet45"/>
      <sheetName val="STUDENT REPORT"/>
      <sheetName val="Sheet8"/>
      <sheetName val="DATA BASE FUNCTIN"/>
      <sheetName val="VLOOKUP CHOOSE"/>
      <sheetName val="speedometer"/>
      <sheetName val="VLOOKUP +CHOOSE"/>
      <sheetName val="Sheet5"/>
      <sheetName val="trick"/>
      <sheetName val="text "/>
      <sheetName val="text function"/>
      <sheetName val="Sheet10"/>
      <sheetName val="SEMESTER 1"/>
      <sheetName val="SEMESTER 2"/>
      <sheetName val="Sheet1"/>
      <sheetName val="Sheet15"/>
      <sheetName val="YEAR"/>
      <sheetName val="choose"/>
      <sheetName val="Sheet12"/>
      <sheetName val="ANUJSINGHPVT LTD"/>
    </sheetNames>
    <sheetDataSet>
      <sheetData sheetId="0">
        <row r="15">
          <cell r="K15" t="str">
            <v>STOCK</v>
          </cell>
        </row>
      </sheetData>
      <sheetData sheetId="1">
        <row r="7">
          <cell r="D7" t="str">
            <v>QUANTITY</v>
          </cell>
        </row>
      </sheetData>
      <sheetData sheetId="2">
        <row r="7">
          <cell r="D7" t="str">
            <v>QUANTITY</v>
          </cell>
        </row>
      </sheetData>
      <sheetData sheetId="3">
        <row r="6">
          <cell r="A6" t="str">
            <v>ITEM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B5" t="str">
            <v>TARGET</v>
          </cell>
          <cell r="C5" t="str">
            <v>SALES</v>
          </cell>
        </row>
        <row r="6">
          <cell r="A6" t="str">
            <v>JAN</v>
          </cell>
          <cell r="B6">
            <v>592</v>
          </cell>
          <cell r="C6">
            <v>1162</v>
          </cell>
        </row>
        <row r="7">
          <cell r="A7" t="str">
            <v>FEB</v>
          </cell>
          <cell r="B7">
            <v>630</v>
          </cell>
          <cell r="C7">
            <v>4036</v>
          </cell>
        </row>
        <row r="8">
          <cell r="A8" t="str">
            <v>MAR</v>
          </cell>
          <cell r="B8">
            <v>527</v>
          </cell>
          <cell r="C8">
            <v>4215</v>
          </cell>
        </row>
        <row r="9">
          <cell r="A9" t="str">
            <v>APR</v>
          </cell>
          <cell r="B9">
            <v>545</v>
          </cell>
          <cell r="C9">
            <v>5334</v>
          </cell>
        </row>
        <row r="10">
          <cell r="A10" t="str">
            <v>MAY</v>
          </cell>
          <cell r="B10">
            <v>582</v>
          </cell>
          <cell r="C10">
            <v>6048</v>
          </cell>
        </row>
        <row r="11">
          <cell r="A11" t="str">
            <v>JUN</v>
          </cell>
          <cell r="B11">
            <v>476</v>
          </cell>
          <cell r="C11">
            <v>1149</v>
          </cell>
        </row>
        <row r="12">
          <cell r="A12" t="str">
            <v>JUL</v>
          </cell>
          <cell r="B12">
            <v>458</v>
          </cell>
          <cell r="C12">
            <v>6069</v>
          </cell>
        </row>
        <row r="13">
          <cell r="A13" t="str">
            <v>AUG</v>
          </cell>
          <cell r="B13">
            <v>448</v>
          </cell>
          <cell r="C13">
            <v>5488</v>
          </cell>
        </row>
        <row r="14">
          <cell r="A14" t="str">
            <v>SEP</v>
          </cell>
          <cell r="B14">
            <v>686</v>
          </cell>
          <cell r="C14">
            <v>5980</v>
          </cell>
        </row>
        <row r="15">
          <cell r="A15" t="str">
            <v>OCT</v>
          </cell>
          <cell r="B15">
            <v>641</v>
          </cell>
          <cell r="C15">
            <v>5084</v>
          </cell>
        </row>
        <row r="16">
          <cell r="A16" t="str">
            <v>NOV</v>
          </cell>
          <cell r="B16">
            <v>696</v>
          </cell>
          <cell r="C16">
            <v>1373</v>
          </cell>
        </row>
        <row r="17">
          <cell r="A17" t="str">
            <v>DEC</v>
          </cell>
          <cell r="B17">
            <v>474</v>
          </cell>
          <cell r="C17">
            <v>1487</v>
          </cell>
        </row>
        <row r="18">
          <cell r="A18" t="str">
            <v>JAN</v>
          </cell>
          <cell r="B18">
            <v>689</v>
          </cell>
          <cell r="C18">
            <v>4203</v>
          </cell>
        </row>
        <row r="19">
          <cell r="A19" t="str">
            <v>FEB</v>
          </cell>
          <cell r="B19">
            <v>446</v>
          </cell>
          <cell r="C19">
            <v>4184</v>
          </cell>
        </row>
        <row r="20">
          <cell r="A20" t="str">
            <v>MAR</v>
          </cell>
          <cell r="B20">
            <v>623</v>
          </cell>
          <cell r="C20">
            <v>5166</v>
          </cell>
        </row>
        <row r="21">
          <cell r="A21" t="str">
            <v>APR</v>
          </cell>
          <cell r="B21">
            <v>506</v>
          </cell>
          <cell r="C21">
            <v>1128</v>
          </cell>
        </row>
        <row r="22">
          <cell r="A22" t="str">
            <v>MAY</v>
          </cell>
          <cell r="B22">
            <v>613</v>
          </cell>
          <cell r="C22">
            <v>1235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speedometer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id="1" name="Table849" displayName="Table849" ref="A5:C22" totalsRowShown="0" headerRowBorderDxfId="49" tableBorderDxfId="48" totalsRowBorderDxfId="47">
  <autoFilter ref="A5:C22"/>
  <tableColumns count="3">
    <tableColumn id="1" name="MONTH" dataDxfId="46"/>
    <tableColumn id="2" name="TARGET" dataDxfId="45"/>
    <tableColumn id="3" name="SALES" dataDxfId="4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3:O507" totalsRowShown="0" headerRowDxfId="43" headerRowBorderDxfId="42">
  <autoFilter ref="A3:O507">
    <filterColumn colId="0">
      <filters blank="1">
        <filter val="1991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</filters>
    </filterColumn>
  </autoFilter>
  <tableColumns count="15">
    <tableColumn id="1" name="YEAR" dataDxfId="41"/>
    <tableColumn id="2" name="JAN" dataDxfId="40"/>
    <tableColumn id="3" name="FEB" dataDxfId="39"/>
    <tableColumn id="4" name="MAR" dataDxfId="38"/>
    <tableColumn id="5" name="APR" dataDxfId="37"/>
    <tableColumn id="6" name="MAY" dataDxfId="36"/>
    <tableColumn id="7" name="JUN" dataDxfId="35"/>
    <tableColumn id="8" name="JUL" dataDxfId="34"/>
    <tableColumn id="9" name="AUG" dataDxfId="33"/>
    <tableColumn id="10" name="SEP" dataDxfId="32"/>
    <tableColumn id="11" name="OCT" dataDxfId="31"/>
    <tableColumn id="12" name="NOV" dataDxfId="30"/>
    <tableColumn id="13" name="DEC" dataDxfId="29"/>
    <tableColumn id="14" name="TOTAL" dataDxfId="28"/>
    <tableColumn id="15" name="AVERAGE" dataDxfId="2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K27" headerRowDxfId="26" dataDxfId="24" headerRowBorderDxfId="25" tableBorderDxfId="23" totalsRowBorderDxfId="22">
  <autoFilter ref="A3:K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MONTH" totalsRowLabel="Total" dataDxfId="21" totalsRowDxfId="20"/>
    <tableColumn id="2" name="1993" dataDxfId="19" totalsRowDxfId="18"/>
    <tableColumn id="3" name="1994" dataDxfId="17" totalsRowDxfId="16"/>
    <tableColumn id="4" name="1995" dataDxfId="15" totalsRowDxfId="14"/>
    <tableColumn id="5" name="1996" dataDxfId="13" totalsRowDxfId="12"/>
    <tableColumn id="6" name="1997" dataDxfId="11" totalsRowDxfId="10"/>
    <tableColumn id="7" name="1998" dataDxfId="9" totalsRowDxfId="8"/>
    <tableColumn id="8" name="1999" dataDxfId="7" totalsRowDxfId="6"/>
    <tableColumn id="9" name="Monthly TotalFor 5 Years" dataDxfId="5" totalsRowDxfId="4">
      <calculatedColumnFormula>SUM(D4:H4)</calculatedColumnFormula>
    </tableColumn>
    <tableColumn id="10" name="Avg. 5 years" dataDxfId="3" totalsRowDxfId="2">
      <calculatedColumnFormula>AVERAGE(D4:H4)</calculatedColumnFormula>
    </tableColumn>
    <tableColumn id="11" name="MONTHLY ELECTRIC SUPPLY" totalsRowFunction="sum" dataDxfId="1" totalsRowDxfId="0">
      <calculatedColumnFormula>AVERAGE(Table3[[#This Row],[1993]:[1999]])</calculatedColumnFormula>
    </tableColumn>
  </tableColumns>
  <tableStyleInfo name="TableStyleLight15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opLeftCell="A10" zoomScale="61" workbookViewId="0">
      <selection activeCell="P25" sqref="P25"/>
    </sheetView>
  </sheetViews>
  <sheetFormatPr defaultRowHeight="14.5" x14ac:dyDescent="0.35"/>
  <cols>
    <col min="1" max="1" width="9.54296875" bestFit="1" customWidth="1"/>
    <col min="2" max="2" width="7.26953125" bestFit="1" customWidth="1"/>
    <col min="3" max="3" width="4.7265625" bestFit="1" customWidth="1"/>
    <col min="4" max="4" width="6.1796875" bestFit="1" customWidth="1"/>
    <col min="5" max="5" width="4.1796875" bestFit="1" customWidth="1"/>
    <col min="6" max="6" width="4" bestFit="1" customWidth="1"/>
    <col min="7" max="7" width="4.54296875" bestFit="1" customWidth="1"/>
    <col min="8" max="8" width="6.54296875" bestFit="1" customWidth="1"/>
    <col min="9" max="9" width="4.81640625" bestFit="1" customWidth="1"/>
    <col min="10" max="10" width="7" bestFit="1" customWidth="1"/>
    <col min="11" max="11" width="4.7265625" bestFit="1" customWidth="1"/>
    <col min="12" max="12" width="5.1796875" bestFit="1" customWidth="1"/>
    <col min="13" max="13" width="6" bestFit="1" customWidth="1"/>
    <col min="14" max="14" width="7.54296875" bestFit="1" customWidth="1"/>
    <col min="19" max="19" width="15.7265625" bestFit="1" customWidth="1"/>
  </cols>
  <sheetData>
    <row r="1" spans="1:14" x14ac:dyDescent="0.35">
      <c r="A1" s="82" t="s">
        <v>35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x14ac:dyDescent="0.3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4" x14ac:dyDescent="0.35">
      <c r="A3" s="2" t="s">
        <v>40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36</v>
      </c>
      <c r="L3" s="2" t="s">
        <v>37</v>
      </c>
      <c r="M3" s="2" t="s">
        <v>38</v>
      </c>
      <c r="N3" s="2" t="s">
        <v>39</v>
      </c>
    </row>
    <row r="4" spans="1:14" x14ac:dyDescent="0.35">
      <c r="A4" s="3" t="s">
        <v>10</v>
      </c>
      <c r="B4" s="4">
        <v>23</v>
      </c>
      <c r="C4" s="4">
        <v>58</v>
      </c>
      <c r="D4" s="4">
        <v>59</v>
      </c>
      <c r="E4" s="4">
        <v>47</v>
      </c>
      <c r="F4" s="4">
        <v>64</v>
      </c>
      <c r="G4" s="4">
        <v>80</v>
      </c>
      <c r="H4" s="5">
        <f>SUM(B4:G4)</f>
        <v>331</v>
      </c>
      <c r="I4" s="5">
        <f>AVERAGE(B4:G4)</f>
        <v>55.166666666666664</v>
      </c>
      <c r="J4" s="5" t="str">
        <f>IF(I4&gt;75,"A","B")</f>
        <v>B</v>
      </c>
      <c r="K4" s="5">
        <f>MIN(B4:G4)</f>
        <v>23</v>
      </c>
      <c r="L4" s="5">
        <f>MAX(B4:G4)</f>
        <v>80</v>
      </c>
      <c r="M4" s="5">
        <f>RANK(I4,$I$4:$I$28)</f>
        <v>15</v>
      </c>
      <c r="N4" s="5">
        <f>ROUND(I4,0)</f>
        <v>55</v>
      </c>
    </row>
    <row r="5" spans="1:14" x14ac:dyDescent="0.35">
      <c r="A5" s="3" t="s">
        <v>11</v>
      </c>
      <c r="B5" s="4">
        <v>65</v>
      </c>
      <c r="C5" s="4">
        <v>96</v>
      </c>
      <c r="D5" s="4">
        <v>84</v>
      </c>
      <c r="E5" s="4">
        <v>62</v>
      </c>
      <c r="F5" s="4">
        <v>31</v>
      </c>
      <c r="G5" s="4">
        <v>27</v>
      </c>
      <c r="H5" s="5">
        <f t="shared" ref="H5:H28" si="0">SUM(B5:G5)</f>
        <v>365</v>
      </c>
      <c r="I5" s="5">
        <f t="shared" ref="I5:I28" si="1">AVERAGE(B5:G5)</f>
        <v>60.833333333333336</v>
      </c>
      <c r="J5" s="5" t="str">
        <f t="shared" ref="J5:J28" si="2">IF(I5&gt;75,"A","B")</f>
        <v>B</v>
      </c>
      <c r="K5" s="5">
        <f t="shared" ref="K5:K28" si="3">MIN(B5:G5)</f>
        <v>27</v>
      </c>
      <c r="L5" s="5">
        <f t="shared" ref="L5:L28" si="4">MAX(B5:G5)</f>
        <v>96</v>
      </c>
      <c r="M5" s="5">
        <f t="shared" ref="M5:M28" si="5">RANK(I5,$I$4:$I$28)</f>
        <v>12</v>
      </c>
      <c r="N5" s="5">
        <f t="shared" ref="N5:N28" si="6">ROUND(I5,0)</f>
        <v>61</v>
      </c>
    </row>
    <row r="6" spans="1:14" x14ac:dyDescent="0.35">
      <c r="A6" s="3" t="s">
        <v>12</v>
      </c>
      <c r="B6" s="4">
        <v>98</v>
      </c>
      <c r="C6" s="4">
        <v>98</v>
      </c>
      <c r="D6" s="4">
        <v>23</v>
      </c>
      <c r="E6" s="4">
        <v>69</v>
      </c>
      <c r="F6" s="4">
        <v>62</v>
      </c>
      <c r="G6" s="4">
        <v>71</v>
      </c>
      <c r="H6" s="5">
        <f t="shared" si="0"/>
        <v>421</v>
      </c>
      <c r="I6" s="5">
        <f t="shared" si="1"/>
        <v>70.166666666666671</v>
      </c>
      <c r="J6" s="5" t="str">
        <f t="shared" si="2"/>
        <v>B</v>
      </c>
      <c r="K6" s="5">
        <f t="shared" si="3"/>
        <v>23</v>
      </c>
      <c r="L6" s="5">
        <f t="shared" si="4"/>
        <v>98</v>
      </c>
      <c r="M6" s="5">
        <f t="shared" si="5"/>
        <v>3</v>
      </c>
      <c r="N6" s="5">
        <f t="shared" si="6"/>
        <v>70</v>
      </c>
    </row>
    <row r="7" spans="1:14" x14ac:dyDescent="0.35">
      <c r="A7" s="3" t="s">
        <v>13</v>
      </c>
      <c r="B7" s="4">
        <v>45</v>
      </c>
      <c r="C7" s="4">
        <v>65</v>
      </c>
      <c r="D7" s="4">
        <v>43</v>
      </c>
      <c r="E7" s="4">
        <v>30</v>
      </c>
      <c r="F7" s="4">
        <v>21</v>
      </c>
      <c r="G7" s="4">
        <v>51</v>
      </c>
      <c r="H7" s="5">
        <f t="shared" si="0"/>
        <v>255</v>
      </c>
      <c r="I7" s="5">
        <f t="shared" si="1"/>
        <v>42.5</v>
      </c>
      <c r="J7" s="5" t="str">
        <f t="shared" si="2"/>
        <v>B</v>
      </c>
      <c r="K7" s="5">
        <f t="shared" si="3"/>
        <v>21</v>
      </c>
      <c r="L7" s="5">
        <f t="shared" si="4"/>
        <v>65</v>
      </c>
      <c r="M7" s="5">
        <f t="shared" si="5"/>
        <v>25</v>
      </c>
      <c r="N7" s="5">
        <f t="shared" si="6"/>
        <v>43</v>
      </c>
    </row>
    <row r="8" spans="1:14" x14ac:dyDescent="0.35">
      <c r="A8" s="3" t="s">
        <v>14</v>
      </c>
      <c r="B8" s="4">
        <v>89</v>
      </c>
      <c r="C8" s="4">
        <v>85</v>
      </c>
      <c r="D8" s="4">
        <v>21</v>
      </c>
      <c r="E8" s="4">
        <v>40</v>
      </c>
      <c r="F8" s="4">
        <v>37</v>
      </c>
      <c r="G8" s="4">
        <v>51</v>
      </c>
      <c r="H8" s="5">
        <f t="shared" si="0"/>
        <v>323</v>
      </c>
      <c r="I8" s="5">
        <f t="shared" si="1"/>
        <v>53.833333333333336</v>
      </c>
      <c r="J8" s="5" t="str">
        <f t="shared" si="2"/>
        <v>B</v>
      </c>
      <c r="K8" s="5">
        <f t="shared" si="3"/>
        <v>21</v>
      </c>
      <c r="L8" s="5">
        <f t="shared" si="4"/>
        <v>89</v>
      </c>
      <c r="M8" s="5">
        <f t="shared" si="5"/>
        <v>17</v>
      </c>
      <c r="N8" s="5">
        <f t="shared" si="6"/>
        <v>54</v>
      </c>
    </row>
    <row r="9" spans="1:14" x14ac:dyDescent="0.35">
      <c r="A9" s="3" t="s">
        <v>15</v>
      </c>
      <c r="B9" s="4">
        <v>57</v>
      </c>
      <c r="C9" s="4">
        <v>87</v>
      </c>
      <c r="D9" s="4">
        <v>24</v>
      </c>
      <c r="E9" s="4">
        <v>47</v>
      </c>
      <c r="F9" s="4">
        <v>64</v>
      </c>
      <c r="G9" s="4">
        <v>44</v>
      </c>
      <c r="H9" s="5">
        <f t="shared" si="0"/>
        <v>323</v>
      </c>
      <c r="I9" s="5">
        <f t="shared" si="1"/>
        <v>53.833333333333336</v>
      </c>
      <c r="J9" s="5" t="str">
        <f t="shared" si="2"/>
        <v>B</v>
      </c>
      <c r="K9" s="5">
        <f t="shared" si="3"/>
        <v>24</v>
      </c>
      <c r="L9" s="5">
        <f t="shared" si="4"/>
        <v>87</v>
      </c>
      <c r="M9" s="5">
        <f t="shared" si="5"/>
        <v>17</v>
      </c>
      <c r="N9" s="5">
        <f t="shared" si="6"/>
        <v>54</v>
      </c>
    </row>
    <row r="10" spans="1:14" x14ac:dyDescent="0.35">
      <c r="A10" s="3" t="s">
        <v>16</v>
      </c>
      <c r="B10" s="4">
        <v>85</v>
      </c>
      <c r="C10" s="4">
        <v>98</v>
      </c>
      <c r="D10" s="4">
        <v>67</v>
      </c>
      <c r="E10" s="4">
        <v>83</v>
      </c>
      <c r="F10" s="4">
        <v>83</v>
      </c>
      <c r="G10" s="4">
        <v>52</v>
      </c>
      <c r="H10" s="5">
        <f t="shared" si="0"/>
        <v>468</v>
      </c>
      <c r="I10" s="5">
        <f t="shared" si="1"/>
        <v>78</v>
      </c>
      <c r="J10" s="5" t="str">
        <f t="shared" si="2"/>
        <v>A</v>
      </c>
      <c r="K10" s="5">
        <f t="shared" si="3"/>
        <v>52</v>
      </c>
      <c r="L10" s="5">
        <f t="shared" si="4"/>
        <v>98</v>
      </c>
      <c r="M10" s="5">
        <f t="shared" si="5"/>
        <v>1</v>
      </c>
      <c r="N10" s="5">
        <f t="shared" si="6"/>
        <v>78</v>
      </c>
    </row>
    <row r="11" spans="1:14" x14ac:dyDescent="0.35">
      <c r="A11" s="3" t="s">
        <v>17</v>
      </c>
      <c r="B11" s="4">
        <v>74</v>
      </c>
      <c r="C11" s="4">
        <v>65</v>
      </c>
      <c r="D11" s="4">
        <v>83</v>
      </c>
      <c r="E11" s="4">
        <v>28</v>
      </c>
      <c r="F11" s="4">
        <v>63</v>
      </c>
      <c r="G11" s="4">
        <v>41</v>
      </c>
      <c r="H11" s="5">
        <f t="shared" si="0"/>
        <v>354</v>
      </c>
      <c r="I11" s="5">
        <f t="shared" si="1"/>
        <v>59</v>
      </c>
      <c r="J11" s="5" t="str">
        <f t="shared" si="2"/>
        <v>B</v>
      </c>
      <c r="K11" s="5">
        <f t="shared" si="3"/>
        <v>28</v>
      </c>
      <c r="L11" s="5">
        <f t="shared" si="4"/>
        <v>83</v>
      </c>
      <c r="M11" s="5">
        <f t="shared" si="5"/>
        <v>13</v>
      </c>
      <c r="N11" s="5">
        <f t="shared" si="6"/>
        <v>59</v>
      </c>
    </row>
    <row r="12" spans="1:14" x14ac:dyDescent="0.35">
      <c r="A12" s="3" t="s">
        <v>18</v>
      </c>
      <c r="B12" s="4">
        <v>65</v>
      </c>
      <c r="C12" s="4">
        <v>78</v>
      </c>
      <c r="D12" s="4">
        <v>68</v>
      </c>
      <c r="E12" s="4">
        <v>70</v>
      </c>
      <c r="F12" s="4">
        <v>44</v>
      </c>
      <c r="G12" s="4">
        <v>46</v>
      </c>
      <c r="H12" s="5">
        <f t="shared" si="0"/>
        <v>371</v>
      </c>
      <c r="I12" s="5">
        <f t="shared" si="1"/>
        <v>61.833333333333336</v>
      </c>
      <c r="J12" s="5" t="str">
        <f t="shared" si="2"/>
        <v>B</v>
      </c>
      <c r="K12" s="5">
        <f t="shared" si="3"/>
        <v>44</v>
      </c>
      <c r="L12" s="5">
        <f t="shared" si="4"/>
        <v>78</v>
      </c>
      <c r="M12" s="5">
        <f t="shared" si="5"/>
        <v>11</v>
      </c>
      <c r="N12" s="5">
        <f t="shared" si="6"/>
        <v>62</v>
      </c>
    </row>
    <row r="13" spans="1:14" x14ac:dyDescent="0.35">
      <c r="A13" s="3" t="s">
        <v>19</v>
      </c>
      <c r="B13" s="4">
        <v>98</v>
      </c>
      <c r="C13" s="4">
        <v>58</v>
      </c>
      <c r="D13" s="4">
        <v>68</v>
      </c>
      <c r="E13" s="4">
        <v>73</v>
      </c>
      <c r="F13" s="4">
        <v>52</v>
      </c>
      <c r="G13" s="4">
        <v>67</v>
      </c>
      <c r="H13" s="5">
        <f t="shared" si="0"/>
        <v>416</v>
      </c>
      <c r="I13" s="5">
        <f t="shared" si="1"/>
        <v>69.333333333333329</v>
      </c>
      <c r="J13" s="5" t="str">
        <f t="shared" si="2"/>
        <v>B</v>
      </c>
      <c r="K13" s="5">
        <f t="shared" si="3"/>
        <v>52</v>
      </c>
      <c r="L13" s="5">
        <f t="shared" si="4"/>
        <v>98</v>
      </c>
      <c r="M13" s="5">
        <f t="shared" si="5"/>
        <v>4</v>
      </c>
      <c r="N13" s="5">
        <f t="shared" si="6"/>
        <v>69</v>
      </c>
    </row>
    <row r="14" spans="1:14" x14ac:dyDescent="0.35">
      <c r="A14" s="3" t="s">
        <v>20</v>
      </c>
      <c r="B14" s="4">
        <v>58</v>
      </c>
      <c r="C14" s="4">
        <v>69</v>
      </c>
      <c r="D14" s="4">
        <v>61</v>
      </c>
      <c r="E14" s="4">
        <v>73</v>
      </c>
      <c r="F14" s="4">
        <v>48</v>
      </c>
      <c r="G14" s="4">
        <v>76</v>
      </c>
      <c r="H14" s="5">
        <f t="shared" si="0"/>
        <v>385</v>
      </c>
      <c r="I14" s="5">
        <f t="shared" si="1"/>
        <v>64.166666666666671</v>
      </c>
      <c r="J14" s="5" t="str">
        <f t="shared" si="2"/>
        <v>B</v>
      </c>
      <c r="K14" s="5">
        <f t="shared" si="3"/>
        <v>48</v>
      </c>
      <c r="L14" s="5">
        <f t="shared" si="4"/>
        <v>76</v>
      </c>
      <c r="M14" s="5">
        <f t="shared" si="5"/>
        <v>10</v>
      </c>
      <c r="N14" s="5">
        <f t="shared" si="6"/>
        <v>64</v>
      </c>
    </row>
    <row r="15" spans="1:14" x14ac:dyDescent="0.35">
      <c r="A15" s="3" t="s">
        <v>21</v>
      </c>
      <c r="B15" s="4">
        <v>47</v>
      </c>
      <c r="C15" s="4">
        <v>98</v>
      </c>
      <c r="D15" s="4">
        <v>63</v>
      </c>
      <c r="E15" s="4">
        <v>35</v>
      </c>
      <c r="F15" s="4">
        <v>78</v>
      </c>
      <c r="G15" s="4">
        <v>75</v>
      </c>
      <c r="H15" s="5">
        <f t="shared" si="0"/>
        <v>396</v>
      </c>
      <c r="I15" s="5">
        <f t="shared" si="1"/>
        <v>66</v>
      </c>
      <c r="J15" s="5" t="str">
        <f t="shared" si="2"/>
        <v>B</v>
      </c>
      <c r="K15" s="5">
        <f t="shared" si="3"/>
        <v>35</v>
      </c>
      <c r="L15" s="5">
        <f t="shared" si="4"/>
        <v>98</v>
      </c>
      <c r="M15" s="5">
        <f t="shared" si="5"/>
        <v>7</v>
      </c>
      <c r="N15" s="5">
        <f t="shared" si="6"/>
        <v>66</v>
      </c>
    </row>
    <row r="16" spans="1:14" x14ac:dyDescent="0.35">
      <c r="A16" s="3" t="s">
        <v>22</v>
      </c>
      <c r="B16" s="4">
        <v>44</v>
      </c>
      <c r="C16" s="4">
        <v>67</v>
      </c>
      <c r="D16" s="4">
        <v>67</v>
      </c>
      <c r="E16" s="4">
        <v>76</v>
      </c>
      <c r="F16" s="4">
        <v>82</v>
      </c>
      <c r="G16" s="4">
        <v>69</v>
      </c>
      <c r="H16" s="5">
        <f t="shared" si="0"/>
        <v>405</v>
      </c>
      <c r="I16" s="5">
        <f t="shared" si="1"/>
        <v>67.5</v>
      </c>
      <c r="J16" s="5" t="str">
        <f t="shared" si="2"/>
        <v>B</v>
      </c>
      <c r="K16" s="5">
        <f t="shared" si="3"/>
        <v>44</v>
      </c>
      <c r="L16" s="5">
        <f t="shared" si="4"/>
        <v>82</v>
      </c>
      <c r="M16" s="5">
        <f t="shared" si="5"/>
        <v>5</v>
      </c>
      <c r="N16" s="5">
        <f t="shared" si="6"/>
        <v>68</v>
      </c>
    </row>
    <row r="17" spans="1:14" x14ac:dyDescent="0.35">
      <c r="A17" s="3" t="s">
        <v>23</v>
      </c>
      <c r="B17" s="4">
        <v>51</v>
      </c>
      <c r="C17" s="4">
        <v>49</v>
      </c>
      <c r="D17" s="4">
        <v>29</v>
      </c>
      <c r="E17" s="4">
        <v>33</v>
      </c>
      <c r="F17" s="4">
        <v>50</v>
      </c>
      <c r="G17" s="4">
        <v>50</v>
      </c>
      <c r="H17" s="5">
        <f t="shared" si="0"/>
        <v>262</v>
      </c>
      <c r="I17" s="5">
        <f t="shared" si="1"/>
        <v>43.666666666666664</v>
      </c>
      <c r="J17" s="5" t="str">
        <f t="shared" si="2"/>
        <v>B</v>
      </c>
      <c r="K17" s="5">
        <f t="shared" si="3"/>
        <v>29</v>
      </c>
      <c r="L17" s="5">
        <f t="shared" si="4"/>
        <v>51</v>
      </c>
      <c r="M17" s="5">
        <f t="shared" si="5"/>
        <v>24</v>
      </c>
      <c r="N17" s="5">
        <f t="shared" si="6"/>
        <v>44</v>
      </c>
    </row>
    <row r="18" spans="1:14" x14ac:dyDescent="0.35">
      <c r="A18" s="3" t="s">
        <v>24</v>
      </c>
      <c r="B18" s="4">
        <v>64</v>
      </c>
      <c r="C18" s="4">
        <v>76</v>
      </c>
      <c r="D18" s="4">
        <v>80</v>
      </c>
      <c r="E18" s="4">
        <v>64</v>
      </c>
      <c r="F18" s="4">
        <v>88</v>
      </c>
      <c r="G18" s="4">
        <v>82</v>
      </c>
      <c r="H18" s="5">
        <f t="shared" si="0"/>
        <v>454</v>
      </c>
      <c r="I18" s="5">
        <f t="shared" si="1"/>
        <v>75.666666666666671</v>
      </c>
      <c r="J18" s="5" t="str">
        <f t="shared" si="2"/>
        <v>A</v>
      </c>
      <c r="K18" s="5">
        <f t="shared" si="3"/>
        <v>64</v>
      </c>
      <c r="L18" s="5">
        <f t="shared" si="4"/>
        <v>88</v>
      </c>
      <c r="M18" s="5">
        <f t="shared" si="5"/>
        <v>2</v>
      </c>
      <c r="N18" s="5">
        <f t="shared" si="6"/>
        <v>76</v>
      </c>
    </row>
    <row r="19" spans="1:14" x14ac:dyDescent="0.35">
      <c r="A19" s="3" t="s">
        <v>25</v>
      </c>
      <c r="B19" s="4">
        <v>68</v>
      </c>
      <c r="C19" s="4">
        <v>30</v>
      </c>
      <c r="D19" s="4">
        <v>75</v>
      </c>
      <c r="E19" s="4">
        <v>63</v>
      </c>
      <c r="F19" s="4">
        <v>78</v>
      </c>
      <c r="G19" s="4">
        <v>89</v>
      </c>
      <c r="H19" s="5">
        <f t="shared" si="0"/>
        <v>403</v>
      </c>
      <c r="I19" s="5">
        <f t="shared" si="1"/>
        <v>67.166666666666671</v>
      </c>
      <c r="J19" s="5" t="str">
        <f t="shared" si="2"/>
        <v>B</v>
      </c>
      <c r="K19" s="5">
        <f t="shared" si="3"/>
        <v>30</v>
      </c>
      <c r="L19" s="5">
        <f t="shared" si="4"/>
        <v>89</v>
      </c>
      <c r="M19" s="5">
        <f t="shared" si="5"/>
        <v>6</v>
      </c>
      <c r="N19" s="5">
        <f t="shared" si="6"/>
        <v>67</v>
      </c>
    </row>
    <row r="20" spans="1:14" x14ac:dyDescent="0.35">
      <c r="A20" s="3" t="s">
        <v>26</v>
      </c>
      <c r="B20" s="4">
        <v>64</v>
      </c>
      <c r="C20" s="4">
        <v>50</v>
      </c>
      <c r="D20" s="4">
        <v>20</v>
      </c>
      <c r="E20" s="4">
        <v>86</v>
      </c>
      <c r="F20" s="4">
        <v>27</v>
      </c>
      <c r="G20" s="4">
        <v>35</v>
      </c>
      <c r="H20" s="5">
        <f t="shared" si="0"/>
        <v>282</v>
      </c>
      <c r="I20" s="5">
        <f t="shared" si="1"/>
        <v>47</v>
      </c>
      <c r="J20" s="5" t="str">
        <f t="shared" si="2"/>
        <v>B</v>
      </c>
      <c r="K20" s="5">
        <f t="shared" si="3"/>
        <v>20</v>
      </c>
      <c r="L20" s="5">
        <f t="shared" si="4"/>
        <v>86</v>
      </c>
      <c r="M20" s="5">
        <f t="shared" si="5"/>
        <v>23</v>
      </c>
      <c r="N20" s="5">
        <f t="shared" si="6"/>
        <v>47</v>
      </c>
    </row>
    <row r="21" spans="1:14" x14ac:dyDescent="0.35">
      <c r="A21" s="3" t="s">
        <v>27</v>
      </c>
      <c r="B21" s="4">
        <v>53</v>
      </c>
      <c r="C21" s="4">
        <v>52</v>
      </c>
      <c r="D21" s="4">
        <v>39</v>
      </c>
      <c r="E21" s="4">
        <v>58</v>
      </c>
      <c r="F21" s="4">
        <v>41</v>
      </c>
      <c r="G21" s="4">
        <v>73</v>
      </c>
      <c r="H21" s="5">
        <f t="shared" si="0"/>
        <v>316</v>
      </c>
      <c r="I21" s="5">
        <f t="shared" si="1"/>
        <v>52.666666666666664</v>
      </c>
      <c r="J21" s="5" t="str">
        <f t="shared" si="2"/>
        <v>B</v>
      </c>
      <c r="K21" s="5">
        <f t="shared" si="3"/>
        <v>39</v>
      </c>
      <c r="L21" s="5">
        <f t="shared" si="4"/>
        <v>73</v>
      </c>
      <c r="M21" s="5">
        <f t="shared" si="5"/>
        <v>20</v>
      </c>
      <c r="N21" s="5">
        <f t="shared" si="6"/>
        <v>53</v>
      </c>
    </row>
    <row r="22" spans="1:14" x14ac:dyDescent="0.35">
      <c r="A22" s="3" t="s">
        <v>28</v>
      </c>
      <c r="B22" s="4">
        <v>47</v>
      </c>
      <c r="C22" s="4">
        <v>63</v>
      </c>
      <c r="D22" s="4">
        <v>62</v>
      </c>
      <c r="E22" s="4">
        <v>29</v>
      </c>
      <c r="F22" s="4">
        <v>26</v>
      </c>
      <c r="G22" s="4">
        <v>90</v>
      </c>
      <c r="H22" s="5">
        <f t="shared" si="0"/>
        <v>317</v>
      </c>
      <c r="I22" s="5">
        <f t="shared" si="1"/>
        <v>52.833333333333336</v>
      </c>
      <c r="J22" s="5" t="str">
        <f t="shared" si="2"/>
        <v>B</v>
      </c>
      <c r="K22" s="5">
        <f t="shared" si="3"/>
        <v>26</v>
      </c>
      <c r="L22" s="5">
        <f t="shared" si="4"/>
        <v>90</v>
      </c>
      <c r="M22" s="5">
        <f t="shared" si="5"/>
        <v>19</v>
      </c>
      <c r="N22" s="5">
        <f t="shared" si="6"/>
        <v>53</v>
      </c>
    </row>
    <row r="23" spans="1:14" x14ac:dyDescent="0.35">
      <c r="A23" s="3" t="s">
        <v>29</v>
      </c>
      <c r="B23" s="4">
        <v>44</v>
      </c>
      <c r="C23" s="4">
        <v>57</v>
      </c>
      <c r="D23" s="4">
        <v>85</v>
      </c>
      <c r="E23" s="4">
        <v>82</v>
      </c>
      <c r="F23" s="4">
        <v>53</v>
      </c>
      <c r="G23" s="4">
        <v>73</v>
      </c>
      <c r="H23" s="5">
        <f t="shared" si="0"/>
        <v>394</v>
      </c>
      <c r="I23" s="5">
        <f t="shared" si="1"/>
        <v>65.666666666666671</v>
      </c>
      <c r="J23" s="5" t="str">
        <f t="shared" si="2"/>
        <v>B</v>
      </c>
      <c r="K23" s="5">
        <f t="shared" si="3"/>
        <v>44</v>
      </c>
      <c r="L23" s="5">
        <f t="shared" si="4"/>
        <v>85</v>
      </c>
      <c r="M23" s="5">
        <f t="shared" si="5"/>
        <v>8</v>
      </c>
      <c r="N23" s="5">
        <f t="shared" si="6"/>
        <v>66</v>
      </c>
    </row>
    <row r="24" spans="1:14" x14ac:dyDescent="0.35">
      <c r="A24" s="3" t="s">
        <v>30</v>
      </c>
      <c r="B24" s="4">
        <v>47</v>
      </c>
      <c r="C24" s="4">
        <v>44</v>
      </c>
      <c r="D24" s="4">
        <v>23</v>
      </c>
      <c r="E24" s="4">
        <v>76</v>
      </c>
      <c r="F24" s="4">
        <v>39</v>
      </c>
      <c r="G24" s="4">
        <v>71</v>
      </c>
      <c r="H24" s="5">
        <f t="shared" si="0"/>
        <v>300</v>
      </c>
      <c r="I24" s="5">
        <f t="shared" si="1"/>
        <v>50</v>
      </c>
      <c r="J24" s="5" t="str">
        <f t="shared" si="2"/>
        <v>B</v>
      </c>
      <c r="K24" s="5">
        <f t="shared" si="3"/>
        <v>23</v>
      </c>
      <c r="L24" s="5">
        <f t="shared" si="4"/>
        <v>76</v>
      </c>
      <c r="M24" s="5">
        <f t="shared" si="5"/>
        <v>22</v>
      </c>
      <c r="N24" s="5">
        <f t="shared" si="6"/>
        <v>50</v>
      </c>
    </row>
    <row r="25" spans="1:14" x14ac:dyDescent="0.35">
      <c r="A25" s="3" t="s">
        <v>31</v>
      </c>
      <c r="B25" s="4">
        <v>90</v>
      </c>
      <c r="C25" s="4">
        <v>43</v>
      </c>
      <c r="D25" s="4">
        <v>77</v>
      </c>
      <c r="E25" s="4">
        <v>73</v>
      </c>
      <c r="F25" s="4">
        <v>59</v>
      </c>
      <c r="G25" s="4">
        <v>46</v>
      </c>
      <c r="H25" s="5">
        <f t="shared" si="0"/>
        <v>388</v>
      </c>
      <c r="I25" s="5">
        <f t="shared" si="1"/>
        <v>64.666666666666671</v>
      </c>
      <c r="J25" s="5" t="str">
        <f t="shared" si="2"/>
        <v>B</v>
      </c>
      <c r="K25" s="5">
        <f t="shared" si="3"/>
        <v>43</v>
      </c>
      <c r="L25" s="5">
        <f t="shared" si="4"/>
        <v>90</v>
      </c>
      <c r="M25" s="5">
        <f t="shared" si="5"/>
        <v>9</v>
      </c>
      <c r="N25" s="5">
        <f t="shared" si="6"/>
        <v>65</v>
      </c>
    </row>
    <row r="26" spans="1:14" x14ac:dyDescent="0.35">
      <c r="A26" s="3" t="s">
        <v>32</v>
      </c>
      <c r="B26" s="4">
        <v>73</v>
      </c>
      <c r="C26" s="4">
        <v>53</v>
      </c>
      <c r="D26" s="4">
        <v>74</v>
      </c>
      <c r="E26" s="4">
        <v>31</v>
      </c>
      <c r="F26" s="4">
        <v>40</v>
      </c>
      <c r="G26" s="4">
        <v>32</v>
      </c>
      <c r="H26" s="5">
        <f t="shared" si="0"/>
        <v>303</v>
      </c>
      <c r="I26" s="5">
        <f t="shared" si="1"/>
        <v>50.5</v>
      </c>
      <c r="J26" s="5" t="str">
        <f t="shared" si="2"/>
        <v>B</v>
      </c>
      <c r="K26" s="5">
        <f t="shared" si="3"/>
        <v>31</v>
      </c>
      <c r="L26" s="5">
        <f t="shared" si="4"/>
        <v>74</v>
      </c>
      <c r="M26" s="5">
        <f t="shared" si="5"/>
        <v>21</v>
      </c>
      <c r="N26" s="5">
        <f t="shared" si="6"/>
        <v>51</v>
      </c>
    </row>
    <row r="27" spans="1:14" x14ac:dyDescent="0.35">
      <c r="A27" s="3" t="s">
        <v>33</v>
      </c>
      <c r="B27" s="4">
        <v>66</v>
      </c>
      <c r="C27" s="4">
        <v>31</v>
      </c>
      <c r="D27" s="4">
        <v>86</v>
      </c>
      <c r="E27" s="4">
        <v>33</v>
      </c>
      <c r="F27" s="4">
        <v>60</v>
      </c>
      <c r="G27" s="4">
        <v>53</v>
      </c>
      <c r="H27" s="5">
        <f t="shared" si="0"/>
        <v>329</v>
      </c>
      <c r="I27" s="5">
        <f t="shared" si="1"/>
        <v>54.833333333333336</v>
      </c>
      <c r="J27" s="5" t="str">
        <f t="shared" si="2"/>
        <v>B</v>
      </c>
      <c r="K27" s="5">
        <f t="shared" si="3"/>
        <v>31</v>
      </c>
      <c r="L27" s="5">
        <f t="shared" si="4"/>
        <v>86</v>
      </c>
      <c r="M27" s="5">
        <f t="shared" si="5"/>
        <v>16</v>
      </c>
      <c r="N27" s="5">
        <f t="shared" si="6"/>
        <v>55</v>
      </c>
    </row>
    <row r="28" spans="1:14" x14ac:dyDescent="0.35">
      <c r="A28" s="3" t="s">
        <v>34</v>
      </c>
      <c r="B28" s="4">
        <v>45</v>
      </c>
      <c r="C28" s="4">
        <v>98</v>
      </c>
      <c r="D28" s="4">
        <v>48</v>
      </c>
      <c r="E28" s="4">
        <v>38</v>
      </c>
      <c r="F28" s="4">
        <v>60</v>
      </c>
      <c r="G28" s="4">
        <v>48</v>
      </c>
      <c r="H28" s="5">
        <f t="shared" si="0"/>
        <v>337</v>
      </c>
      <c r="I28" s="5">
        <f t="shared" si="1"/>
        <v>56.166666666666664</v>
      </c>
      <c r="J28" s="5" t="str">
        <f t="shared" si="2"/>
        <v>B</v>
      </c>
      <c r="K28" s="5">
        <f t="shared" si="3"/>
        <v>38</v>
      </c>
      <c r="L28" s="5">
        <f t="shared" si="4"/>
        <v>98</v>
      </c>
      <c r="M28" s="5">
        <f t="shared" si="5"/>
        <v>14</v>
      </c>
      <c r="N28" s="5">
        <f t="shared" si="6"/>
        <v>56</v>
      </c>
    </row>
  </sheetData>
  <mergeCells count="1">
    <mergeCell ref="A1:N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44" workbookViewId="0">
      <selection activeCell="Q2" sqref="Q2"/>
    </sheetView>
  </sheetViews>
  <sheetFormatPr defaultRowHeight="14.5" x14ac:dyDescent="0.35"/>
  <cols>
    <col min="1" max="1" width="16.26953125" bestFit="1" customWidth="1"/>
    <col min="2" max="2" width="7.26953125" bestFit="1" customWidth="1"/>
    <col min="3" max="3" width="8.54296875" bestFit="1" customWidth="1"/>
    <col min="4" max="4" width="6.1796875" bestFit="1" customWidth="1"/>
    <col min="5" max="5" width="6.453125" bestFit="1" customWidth="1"/>
    <col min="6" max="6" width="8.26953125" bestFit="1" customWidth="1"/>
    <col min="7" max="7" width="6.54296875" bestFit="1" customWidth="1"/>
    <col min="8" max="8" width="12.54296875" bestFit="1" customWidth="1"/>
    <col min="9" max="9" width="7.453125" bestFit="1" customWidth="1"/>
  </cols>
  <sheetData>
    <row r="1" spans="1:13" x14ac:dyDescent="0.35">
      <c r="A1" s="84" t="s">
        <v>41</v>
      </c>
      <c r="B1" s="85"/>
      <c r="C1" s="85"/>
      <c r="D1" s="85"/>
      <c r="E1" s="85"/>
      <c r="F1" s="85"/>
      <c r="G1" s="85"/>
      <c r="H1" s="85"/>
      <c r="I1" s="85"/>
    </row>
    <row r="2" spans="1:13" x14ac:dyDescent="0.35">
      <c r="A2" s="84"/>
      <c r="B2" s="85"/>
      <c r="C2" s="85"/>
      <c r="D2" s="85"/>
      <c r="E2" s="85"/>
      <c r="F2" s="85"/>
      <c r="G2" s="85"/>
      <c r="H2" s="85"/>
      <c r="I2" s="85"/>
    </row>
    <row r="3" spans="1:13" x14ac:dyDescent="0.35">
      <c r="A3" s="84"/>
      <c r="B3" s="85"/>
      <c r="C3" s="85"/>
      <c r="D3" s="85"/>
      <c r="E3" s="85"/>
      <c r="F3" s="85"/>
      <c r="G3" s="85"/>
      <c r="H3" s="85"/>
      <c r="I3" s="85"/>
    </row>
    <row r="4" spans="1:13" ht="15" thickBot="1" x14ac:dyDescent="0.4">
      <c r="A4" s="8" t="s">
        <v>42</v>
      </c>
      <c r="B4" s="8" t="s">
        <v>43</v>
      </c>
      <c r="C4" s="8" t="s">
        <v>44</v>
      </c>
      <c r="D4" s="8" t="s">
        <v>2</v>
      </c>
      <c r="E4" s="8" t="s">
        <v>45</v>
      </c>
      <c r="F4" s="8" t="s">
        <v>46</v>
      </c>
      <c r="G4" s="8" t="s">
        <v>6</v>
      </c>
      <c r="H4" s="8" t="s">
        <v>47</v>
      </c>
      <c r="I4" s="8" t="s">
        <v>48</v>
      </c>
      <c r="J4" s="8" t="s">
        <v>36</v>
      </c>
      <c r="K4" s="8" t="s">
        <v>37</v>
      </c>
      <c r="L4" s="8" t="s">
        <v>38</v>
      </c>
      <c r="M4" s="8" t="s">
        <v>8</v>
      </c>
    </row>
    <row r="5" spans="1:13" ht="22" thickTop="1" thickBot="1" x14ac:dyDescent="0.55000000000000004">
      <c r="A5" s="6" t="s">
        <v>49</v>
      </c>
      <c r="B5" s="6">
        <v>101</v>
      </c>
      <c r="C5" s="6">
        <v>35</v>
      </c>
      <c r="D5" s="6">
        <v>74</v>
      </c>
      <c r="E5" s="6">
        <v>73</v>
      </c>
      <c r="F5" s="6">
        <v>98</v>
      </c>
      <c r="G5" s="6">
        <f>SUM(C5:F5)</f>
        <v>280</v>
      </c>
      <c r="H5" s="6">
        <f>AVERAGE(C5:F5)</f>
        <v>70</v>
      </c>
      <c r="I5" s="6" t="str">
        <f>IF(H5&gt;33,"PASS","FAIL")</f>
        <v>PASS</v>
      </c>
      <c r="J5">
        <f>MIN(C5:F5)</f>
        <v>35</v>
      </c>
      <c r="K5">
        <f>MAX(C5:F5)</f>
        <v>98</v>
      </c>
      <c r="L5">
        <f>_xlfn.RANK.AVG(H5,$H$5:$H$20)</f>
        <v>3</v>
      </c>
      <c r="M5" t="str">
        <f>IF(H5&gt;75,"A",IF(H5&gt;60,"B",IF(H5&gt;45,"C",IF(H5&gt;33,"D",IF(H5&lt;33,"FAIL")))))</f>
        <v>B</v>
      </c>
    </row>
    <row r="6" spans="1:13" ht="22" thickTop="1" thickBot="1" x14ac:dyDescent="0.55000000000000004">
      <c r="A6" s="6" t="s">
        <v>50</v>
      </c>
      <c r="B6" s="6">
        <v>102</v>
      </c>
      <c r="C6" s="6">
        <v>91</v>
      </c>
      <c r="D6" s="6">
        <v>67</v>
      </c>
      <c r="E6" s="6">
        <v>78</v>
      </c>
      <c r="F6" s="6">
        <v>54</v>
      </c>
      <c r="G6" s="6">
        <f t="shared" ref="G6:G20" si="0">SUM(C6:F6)</f>
        <v>290</v>
      </c>
      <c r="H6" s="6">
        <f t="shared" ref="H6:H20" si="1">AVERAGE(C6:F6)</f>
        <v>72.5</v>
      </c>
      <c r="I6" s="6" t="str">
        <f t="shared" ref="I6:I20" si="2">IF(H6&gt;33,"PASS","FAIL")</f>
        <v>PASS</v>
      </c>
      <c r="J6">
        <f t="shared" ref="J6:J20" si="3">MIN(C6:F6)</f>
        <v>54</v>
      </c>
      <c r="K6">
        <f t="shared" ref="K6:K20" si="4">MAX(C6:F6)</f>
        <v>91</v>
      </c>
      <c r="L6">
        <f t="shared" ref="L6:L20" si="5">_xlfn.RANK.AVG(H6,$H$5:$H$20)</f>
        <v>2</v>
      </c>
      <c r="M6" t="str">
        <f t="shared" ref="M6:M20" si="6">IF(H6&gt;75,"A",IF(H6&gt;60,"B",IF(H6&gt;45,"C",IF(H6&gt;33,"D",IF(H6&lt;33,"FAIL")))))</f>
        <v>B</v>
      </c>
    </row>
    <row r="7" spans="1:13" ht="22" thickTop="1" thickBot="1" x14ac:dyDescent="0.55000000000000004">
      <c r="A7" s="6" t="s">
        <v>51</v>
      </c>
      <c r="B7" s="6">
        <v>103</v>
      </c>
      <c r="C7" s="6">
        <v>76</v>
      </c>
      <c r="D7" s="6">
        <v>68</v>
      </c>
      <c r="E7" s="6">
        <v>67</v>
      </c>
      <c r="F7" s="6">
        <v>83</v>
      </c>
      <c r="G7" s="6">
        <f t="shared" si="0"/>
        <v>294</v>
      </c>
      <c r="H7" s="6">
        <f t="shared" si="1"/>
        <v>73.5</v>
      </c>
      <c r="I7" s="6" t="str">
        <f t="shared" si="2"/>
        <v>PASS</v>
      </c>
      <c r="J7">
        <f t="shared" si="3"/>
        <v>67</v>
      </c>
      <c r="K7">
        <f t="shared" si="4"/>
        <v>83</v>
      </c>
      <c r="L7">
        <f t="shared" si="5"/>
        <v>1</v>
      </c>
      <c r="M7" t="str">
        <f t="shared" si="6"/>
        <v>B</v>
      </c>
    </row>
    <row r="8" spans="1:13" ht="22" thickTop="1" thickBot="1" x14ac:dyDescent="0.55000000000000004">
      <c r="A8" s="6" t="s">
        <v>52</v>
      </c>
      <c r="B8" s="6">
        <v>104</v>
      </c>
      <c r="C8" s="6">
        <v>96</v>
      </c>
      <c r="D8" s="6">
        <v>83</v>
      </c>
      <c r="E8" s="6">
        <v>22</v>
      </c>
      <c r="F8" s="6">
        <v>74</v>
      </c>
      <c r="G8" s="6">
        <f t="shared" si="0"/>
        <v>275</v>
      </c>
      <c r="H8" s="6">
        <f t="shared" si="1"/>
        <v>68.75</v>
      </c>
      <c r="I8" s="6" t="str">
        <f t="shared" si="2"/>
        <v>PASS</v>
      </c>
      <c r="J8">
        <f t="shared" si="3"/>
        <v>22</v>
      </c>
      <c r="K8">
        <f t="shared" si="4"/>
        <v>96</v>
      </c>
      <c r="L8">
        <f t="shared" si="5"/>
        <v>4</v>
      </c>
      <c r="M8" t="str">
        <f t="shared" si="6"/>
        <v>B</v>
      </c>
    </row>
    <row r="9" spans="1:13" ht="22" thickTop="1" thickBot="1" x14ac:dyDescent="0.55000000000000004">
      <c r="A9" s="6" t="s">
        <v>53</v>
      </c>
      <c r="B9" s="6">
        <v>105</v>
      </c>
      <c r="C9" s="6">
        <v>64</v>
      </c>
      <c r="D9" s="6">
        <v>13</v>
      </c>
      <c r="E9" s="6">
        <v>72</v>
      </c>
      <c r="F9" s="6">
        <v>49</v>
      </c>
      <c r="G9" s="6">
        <f t="shared" si="0"/>
        <v>198</v>
      </c>
      <c r="H9" s="6">
        <f t="shared" si="1"/>
        <v>49.5</v>
      </c>
      <c r="I9" s="6" t="str">
        <f t="shared" si="2"/>
        <v>PASS</v>
      </c>
      <c r="J9">
        <f t="shared" si="3"/>
        <v>13</v>
      </c>
      <c r="K9">
        <f t="shared" si="4"/>
        <v>72</v>
      </c>
      <c r="L9">
        <f t="shared" si="5"/>
        <v>11</v>
      </c>
      <c r="M9" t="str">
        <f t="shared" si="6"/>
        <v>C</v>
      </c>
    </row>
    <row r="10" spans="1:13" ht="22" thickTop="1" thickBot="1" x14ac:dyDescent="0.55000000000000004">
      <c r="A10" s="6" t="s">
        <v>54</v>
      </c>
      <c r="B10" s="6">
        <v>106</v>
      </c>
      <c r="C10" s="6">
        <v>89</v>
      </c>
      <c r="D10" s="6">
        <v>67</v>
      </c>
      <c r="E10" s="6">
        <v>60</v>
      </c>
      <c r="F10" s="6">
        <v>16</v>
      </c>
      <c r="G10" s="6">
        <f t="shared" si="0"/>
        <v>232</v>
      </c>
      <c r="H10" s="6">
        <f t="shared" si="1"/>
        <v>58</v>
      </c>
      <c r="I10" s="6" t="str">
        <f t="shared" si="2"/>
        <v>PASS</v>
      </c>
      <c r="J10">
        <f t="shared" si="3"/>
        <v>16</v>
      </c>
      <c r="K10">
        <f t="shared" si="4"/>
        <v>89</v>
      </c>
      <c r="L10">
        <f t="shared" si="5"/>
        <v>7</v>
      </c>
      <c r="M10" t="str">
        <f t="shared" si="6"/>
        <v>C</v>
      </c>
    </row>
    <row r="11" spans="1:13" ht="22" thickTop="1" thickBot="1" x14ac:dyDescent="0.55000000000000004">
      <c r="A11" s="6" t="s">
        <v>55</v>
      </c>
      <c r="B11" s="6">
        <v>107</v>
      </c>
      <c r="C11" s="6">
        <v>48</v>
      </c>
      <c r="D11" s="6">
        <v>89</v>
      </c>
      <c r="E11" s="6">
        <v>100</v>
      </c>
      <c r="F11" s="6">
        <v>28</v>
      </c>
      <c r="G11" s="6">
        <f t="shared" si="0"/>
        <v>265</v>
      </c>
      <c r="H11" s="6">
        <f t="shared" si="1"/>
        <v>66.25</v>
      </c>
      <c r="I11" s="6" t="str">
        <f t="shared" si="2"/>
        <v>PASS</v>
      </c>
      <c r="J11">
        <f t="shared" si="3"/>
        <v>28</v>
      </c>
      <c r="K11">
        <f t="shared" si="4"/>
        <v>100</v>
      </c>
      <c r="L11">
        <f t="shared" si="5"/>
        <v>5</v>
      </c>
      <c r="M11" t="str">
        <f t="shared" si="6"/>
        <v>B</v>
      </c>
    </row>
    <row r="12" spans="1:13" ht="22" thickTop="1" thickBot="1" x14ac:dyDescent="0.55000000000000004">
      <c r="A12" s="7" t="s">
        <v>56</v>
      </c>
      <c r="B12" s="6">
        <v>108</v>
      </c>
      <c r="C12" s="6">
        <v>29</v>
      </c>
      <c r="D12" s="6">
        <v>68</v>
      </c>
      <c r="E12" s="6">
        <v>15</v>
      </c>
      <c r="F12" s="6">
        <v>15</v>
      </c>
      <c r="G12" s="6">
        <f t="shared" si="0"/>
        <v>127</v>
      </c>
      <c r="H12" s="6">
        <f t="shared" si="1"/>
        <v>31.75</v>
      </c>
      <c r="I12" s="6" t="str">
        <f t="shared" si="2"/>
        <v>FAIL</v>
      </c>
      <c r="J12">
        <f t="shared" si="3"/>
        <v>15</v>
      </c>
      <c r="K12">
        <f t="shared" si="4"/>
        <v>68</v>
      </c>
      <c r="L12">
        <f t="shared" si="5"/>
        <v>15</v>
      </c>
      <c r="M12" t="str">
        <f t="shared" si="6"/>
        <v>FAIL</v>
      </c>
    </row>
    <row r="13" spans="1:13" ht="22" thickTop="1" thickBot="1" x14ac:dyDescent="0.55000000000000004">
      <c r="A13" s="7" t="s">
        <v>57</v>
      </c>
      <c r="B13" s="6">
        <v>109</v>
      </c>
      <c r="C13" s="7">
        <v>28</v>
      </c>
      <c r="D13" s="7">
        <v>51</v>
      </c>
      <c r="E13" s="7">
        <v>34</v>
      </c>
      <c r="F13" s="7">
        <v>45</v>
      </c>
      <c r="G13" s="6">
        <f t="shared" si="0"/>
        <v>158</v>
      </c>
      <c r="H13" s="6">
        <f t="shared" si="1"/>
        <v>39.5</v>
      </c>
      <c r="I13" s="6" t="str">
        <f t="shared" si="2"/>
        <v>PASS</v>
      </c>
      <c r="J13">
        <f t="shared" si="3"/>
        <v>28</v>
      </c>
      <c r="K13">
        <f t="shared" si="4"/>
        <v>51</v>
      </c>
      <c r="L13">
        <f t="shared" si="5"/>
        <v>14</v>
      </c>
      <c r="M13" t="str">
        <f t="shared" si="6"/>
        <v>D</v>
      </c>
    </row>
    <row r="14" spans="1:13" ht="22" thickTop="1" thickBot="1" x14ac:dyDescent="0.55000000000000004">
      <c r="A14" s="7" t="s">
        <v>58</v>
      </c>
      <c r="B14" s="6">
        <v>110</v>
      </c>
      <c r="C14" s="7">
        <v>80</v>
      </c>
      <c r="D14" s="7">
        <v>30</v>
      </c>
      <c r="E14" s="7">
        <v>69</v>
      </c>
      <c r="F14" s="7">
        <v>17</v>
      </c>
      <c r="G14" s="6">
        <f t="shared" si="0"/>
        <v>196</v>
      </c>
      <c r="H14" s="6">
        <f t="shared" si="1"/>
        <v>49</v>
      </c>
      <c r="I14" s="6" t="str">
        <f t="shared" si="2"/>
        <v>PASS</v>
      </c>
      <c r="J14">
        <f t="shared" si="3"/>
        <v>17</v>
      </c>
      <c r="K14">
        <f t="shared" si="4"/>
        <v>80</v>
      </c>
      <c r="L14">
        <f t="shared" si="5"/>
        <v>12</v>
      </c>
      <c r="M14" t="str">
        <f t="shared" si="6"/>
        <v>C</v>
      </c>
    </row>
    <row r="15" spans="1:13" ht="22" thickTop="1" thickBot="1" x14ac:dyDescent="0.55000000000000004">
      <c r="A15" s="7" t="s">
        <v>59</v>
      </c>
      <c r="B15" s="6">
        <v>111</v>
      </c>
      <c r="C15" s="7">
        <v>29</v>
      </c>
      <c r="D15" s="7">
        <v>30</v>
      </c>
      <c r="E15" s="7">
        <v>23</v>
      </c>
      <c r="F15" s="7">
        <v>37</v>
      </c>
      <c r="G15" s="6">
        <f t="shared" si="0"/>
        <v>119</v>
      </c>
      <c r="H15" s="6">
        <f t="shared" si="1"/>
        <v>29.75</v>
      </c>
      <c r="I15" s="6" t="str">
        <f t="shared" si="2"/>
        <v>FAIL</v>
      </c>
      <c r="J15">
        <f t="shared" si="3"/>
        <v>23</v>
      </c>
      <c r="K15">
        <f t="shared" si="4"/>
        <v>37</v>
      </c>
      <c r="L15">
        <f t="shared" si="5"/>
        <v>16</v>
      </c>
      <c r="M15" t="str">
        <f t="shared" si="6"/>
        <v>FAIL</v>
      </c>
    </row>
    <row r="16" spans="1:13" ht="22" thickTop="1" thickBot="1" x14ac:dyDescent="0.55000000000000004">
      <c r="A16" s="7" t="s">
        <v>53</v>
      </c>
      <c r="B16" s="6">
        <v>112</v>
      </c>
      <c r="C16" s="7">
        <v>57</v>
      </c>
      <c r="D16" s="7">
        <v>75</v>
      </c>
      <c r="E16" s="7">
        <v>61</v>
      </c>
      <c r="F16" s="7">
        <v>52</v>
      </c>
      <c r="G16" s="6">
        <f t="shared" si="0"/>
        <v>245</v>
      </c>
      <c r="H16" s="6">
        <f t="shared" si="1"/>
        <v>61.25</v>
      </c>
      <c r="I16" s="6" t="str">
        <f t="shared" si="2"/>
        <v>PASS</v>
      </c>
      <c r="J16">
        <f t="shared" si="3"/>
        <v>52</v>
      </c>
      <c r="K16">
        <f t="shared" si="4"/>
        <v>75</v>
      </c>
      <c r="L16">
        <f t="shared" si="5"/>
        <v>6</v>
      </c>
      <c r="M16" t="str">
        <f t="shared" si="6"/>
        <v>B</v>
      </c>
    </row>
    <row r="17" spans="1:13" ht="22" thickTop="1" thickBot="1" x14ac:dyDescent="0.55000000000000004">
      <c r="A17" s="7" t="s">
        <v>60</v>
      </c>
      <c r="B17" s="6">
        <v>113</v>
      </c>
      <c r="C17" s="7">
        <v>24</v>
      </c>
      <c r="D17" s="7">
        <v>35</v>
      </c>
      <c r="E17" s="7">
        <v>98</v>
      </c>
      <c r="F17" s="7">
        <v>72</v>
      </c>
      <c r="G17" s="6">
        <f t="shared" si="0"/>
        <v>229</v>
      </c>
      <c r="H17" s="6">
        <f t="shared" si="1"/>
        <v>57.25</v>
      </c>
      <c r="I17" s="6" t="str">
        <f t="shared" si="2"/>
        <v>PASS</v>
      </c>
      <c r="J17">
        <f t="shared" si="3"/>
        <v>24</v>
      </c>
      <c r="K17">
        <f t="shared" si="4"/>
        <v>98</v>
      </c>
      <c r="L17">
        <f t="shared" si="5"/>
        <v>8</v>
      </c>
      <c r="M17" t="str">
        <f t="shared" si="6"/>
        <v>C</v>
      </c>
    </row>
    <row r="18" spans="1:13" ht="22" thickTop="1" thickBot="1" x14ac:dyDescent="0.55000000000000004">
      <c r="A18" s="7" t="s">
        <v>61</v>
      </c>
      <c r="B18" s="6">
        <v>114</v>
      </c>
      <c r="C18" s="7">
        <v>18</v>
      </c>
      <c r="D18" s="7">
        <v>52</v>
      </c>
      <c r="E18" s="7">
        <v>80</v>
      </c>
      <c r="F18" s="7">
        <v>59</v>
      </c>
      <c r="G18" s="6">
        <f t="shared" si="0"/>
        <v>209</v>
      </c>
      <c r="H18" s="6">
        <f t="shared" si="1"/>
        <v>52.25</v>
      </c>
      <c r="I18" s="6" t="str">
        <f t="shared" si="2"/>
        <v>PASS</v>
      </c>
      <c r="J18">
        <f t="shared" si="3"/>
        <v>18</v>
      </c>
      <c r="K18">
        <f t="shared" si="4"/>
        <v>80</v>
      </c>
      <c r="L18">
        <f t="shared" si="5"/>
        <v>10</v>
      </c>
      <c r="M18" t="str">
        <f t="shared" si="6"/>
        <v>C</v>
      </c>
    </row>
    <row r="19" spans="1:13" ht="22" thickTop="1" thickBot="1" x14ac:dyDescent="0.55000000000000004">
      <c r="A19" s="7" t="s">
        <v>30</v>
      </c>
      <c r="B19" s="6">
        <v>115</v>
      </c>
      <c r="C19" s="7">
        <v>39</v>
      </c>
      <c r="D19" s="7">
        <v>68</v>
      </c>
      <c r="E19" s="7">
        <v>27</v>
      </c>
      <c r="F19" s="7">
        <v>81</v>
      </c>
      <c r="G19" s="6">
        <f t="shared" si="0"/>
        <v>215</v>
      </c>
      <c r="H19" s="6">
        <f t="shared" si="1"/>
        <v>53.75</v>
      </c>
      <c r="I19" s="6" t="str">
        <f t="shared" si="2"/>
        <v>PASS</v>
      </c>
      <c r="J19">
        <f t="shared" si="3"/>
        <v>27</v>
      </c>
      <c r="K19">
        <f t="shared" si="4"/>
        <v>81</v>
      </c>
      <c r="L19">
        <f t="shared" si="5"/>
        <v>9</v>
      </c>
      <c r="M19" t="str">
        <f t="shared" si="6"/>
        <v>C</v>
      </c>
    </row>
    <row r="20" spans="1:13" ht="22" thickTop="1" thickBot="1" x14ac:dyDescent="0.55000000000000004">
      <c r="A20" s="7" t="s">
        <v>62</v>
      </c>
      <c r="B20" s="6">
        <v>116</v>
      </c>
      <c r="C20" s="7">
        <v>58</v>
      </c>
      <c r="D20" s="7">
        <v>41</v>
      </c>
      <c r="E20" s="7">
        <v>25</v>
      </c>
      <c r="F20" s="7">
        <v>57</v>
      </c>
      <c r="G20" s="6">
        <f t="shared" si="0"/>
        <v>181</v>
      </c>
      <c r="H20" s="6">
        <f t="shared" si="1"/>
        <v>45.25</v>
      </c>
      <c r="I20" s="6" t="str">
        <f t="shared" si="2"/>
        <v>PASS</v>
      </c>
      <c r="J20">
        <f t="shared" si="3"/>
        <v>25</v>
      </c>
      <c r="K20">
        <f t="shared" si="4"/>
        <v>58</v>
      </c>
      <c r="L20">
        <f t="shared" si="5"/>
        <v>13</v>
      </c>
      <c r="M20" t="str">
        <f t="shared" si="6"/>
        <v>C</v>
      </c>
    </row>
    <row r="21" spans="1:13" ht="15" thickTop="1" x14ac:dyDescent="0.35"/>
  </sheetData>
  <mergeCells count="1">
    <mergeCell ref="A1:I3"/>
  </mergeCells>
  <conditionalFormatting sqref="A4:B4">
    <cfRule type="expression" dxfId="60" priority="22">
      <formula>A$4=$L$4</formula>
    </cfRule>
  </conditionalFormatting>
  <conditionalFormatting sqref="A4:I20 J4:M4">
    <cfRule type="expression" dxfId="59" priority="4">
      <formula>$A$4=$C$4:$F$4&gt;80=$A$14</formula>
    </cfRule>
  </conditionalFormatting>
  <conditionalFormatting sqref="A4:M4 A5:B20 H5:I20">
    <cfRule type="expression" dxfId="58" priority="23">
      <formula>$A4=$L$4</formula>
    </cfRule>
    <cfRule type="expression" dxfId="57" priority="24">
      <formula>A4=$L$4</formula>
    </cfRule>
  </conditionalFormatting>
  <conditionalFormatting sqref="C5:F20">
    <cfRule type="cellIs" dxfId="56" priority="1" operator="between">
      <formula>40</formula>
      <formula>80</formula>
    </cfRule>
    <cfRule type="cellIs" dxfId="55" priority="2" operator="greaterThan">
      <formula>80</formula>
    </cfRule>
    <cfRule type="cellIs" dxfId="54" priority="3" operator="lessThan">
      <formula>40</formula>
    </cfRule>
  </conditionalFormatting>
  <conditionalFormatting sqref="J4:M4 A4:I20">
    <cfRule type="expression" dxfId="53" priority="5">
      <formula>$A$4&gt;80=$A$14</formula>
    </cfRule>
    <cfRule type="expression" priority="6">
      <formula>"tu7y8dfkon]"</formula>
    </cfRule>
    <cfRule type="expression" dxfId="52" priority="7">
      <formula>$A15</formula>
    </cfRule>
    <cfRule type="expression" dxfId="51" priority="8">
      <formula>$A4=$A$14</formula>
    </cfRule>
    <cfRule type="expression" dxfId="50" priority="9">
      <formula>$A4=$C$14</formula>
    </cfRule>
  </conditionalFormatting>
  <pageMargins left="0.7" right="0.7" top="0.75" bottom="0.75" header="0.3" footer="0.3"/>
  <pageSetup paperSize="9" orientation="portrait" r:id="rId1"/>
  <ignoredErrors>
    <ignoredError sqref="K5:K20 J5:J20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topLeftCell="A13" zoomScale="75" workbookViewId="0">
      <selection activeCell="E8" sqref="E8"/>
    </sheetView>
  </sheetViews>
  <sheetFormatPr defaultRowHeight="14.5" x14ac:dyDescent="0.35"/>
  <cols>
    <col min="1" max="1" width="13.7265625" bestFit="1" customWidth="1"/>
    <col min="2" max="2" width="10.54296875" bestFit="1" customWidth="1"/>
    <col min="3" max="3" width="10.1796875" bestFit="1" customWidth="1"/>
    <col min="4" max="4" width="17.7265625" bestFit="1" customWidth="1"/>
  </cols>
  <sheetData>
    <row r="1" spans="1:10" x14ac:dyDescent="0.35">
      <c r="A1" s="82" t="s">
        <v>69</v>
      </c>
      <c r="B1" s="82"/>
      <c r="C1" s="82"/>
      <c r="D1" s="82"/>
    </row>
    <row r="2" spans="1:10" x14ac:dyDescent="0.35">
      <c r="A2" s="83"/>
      <c r="B2" s="83"/>
      <c r="C2" s="83"/>
      <c r="D2" s="83"/>
    </row>
    <row r="3" spans="1:10" ht="15" customHeight="1" x14ac:dyDescent="0.35">
      <c r="A3" s="9" t="s">
        <v>63</v>
      </c>
      <c r="B3" s="9" t="s">
        <v>64</v>
      </c>
      <c r="C3" s="9" t="s">
        <v>65</v>
      </c>
      <c r="D3" s="9" t="s">
        <v>47</v>
      </c>
    </row>
    <row r="4" spans="1:10" ht="15" customHeight="1" x14ac:dyDescent="0.35">
      <c r="A4" s="10" t="s">
        <v>10</v>
      </c>
      <c r="B4" s="11">
        <v>45000</v>
      </c>
      <c r="C4" s="11">
        <f>B4*25/100</f>
        <v>11250</v>
      </c>
      <c r="D4" s="12">
        <f>C4/B4*100</f>
        <v>25</v>
      </c>
      <c r="J4" t="s">
        <v>261</v>
      </c>
    </row>
    <row r="5" spans="1:10" ht="15" customHeight="1" x14ac:dyDescent="0.35">
      <c r="A5" s="10" t="s">
        <v>11</v>
      </c>
      <c r="B5" s="11">
        <v>12300</v>
      </c>
      <c r="C5" s="11">
        <f t="shared" ref="C5:C30" si="0">B5*25/100</f>
        <v>3075</v>
      </c>
      <c r="D5" s="12">
        <f t="shared" ref="D5:D30" si="1">C5/B5*100</f>
        <v>25</v>
      </c>
    </row>
    <row r="6" spans="1:10" ht="15" customHeight="1" x14ac:dyDescent="0.35">
      <c r="A6" s="10" t="s">
        <v>12</v>
      </c>
      <c r="B6" s="11">
        <v>89000</v>
      </c>
      <c r="C6" s="11">
        <f t="shared" si="0"/>
        <v>22250</v>
      </c>
      <c r="D6" s="12">
        <f t="shared" si="1"/>
        <v>25</v>
      </c>
    </row>
    <row r="7" spans="1:10" x14ac:dyDescent="0.35">
      <c r="A7" s="10" t="s">
        <v>13</v>
      </c>
      <c r="B7" s="11">
        <v>12400</v>
      </c>
      <c r="C7" s="11">
        <f t="shared" si="0"/>
        <v>3100</v>
      </c>
      <c r="D7" s="12">
        <f t="shared" si="1"/>
        <v>25</v>
      </c>
    </row>
    <row r="8" spans="1:10" x14ac:dyDescent="0.35">
      <c r="A8" s="10" t="s">
        <v>14</v>
      </c>
      <c r="B8" s="11">
        <v>56000</v>
      </c>
      <c r="C8" s="11">
        <f t="shared" si="0"/>
        <v>14000</v>
      </c>
      <c r="D8" s="12">
        <f t="shared" si="1"/>
        <v>25</v>
      </c>
    </row>
    <row r="9" spans="1:10" x14ac:dyDescent="0.35">
      <c r="A9" s="10" t="s">
        <v>15</v>
      </c>
      <c r="B9" s="11">
        <v>23000</v>
      </c>
      <c r="C9" s="11">
        <f t="shared" si="0"/>
        <v>5750</v>
      </c>
      <c r="D9" s="12">
        <f t="shared" si="1"/>
        <v>25</v>
      </c>
    </row>
    <row r="10" spans="1:10" x14ac:dyDescent="0.35">
      <c r="A10" s="10" t="s">
        <v>16</v>
      </c>
      <c r="B10" s="11">
        <v>45000</v>
      </c>
      <c r="C10" s="11">
        <f t="shared" si="0"/>
        <v>11250</v>
      </c>
      <c r="D10" s="12">
        <f t="shared" si="1"/>
        <v>25</v>
      </c>
    </row>
    <row r="11" spans="1:10" x14ac:dyDescent="0.35">
      <c r="A11" s="10" t="s">
        <v>17</v>
      </c>
      <c r="B11" s="11">
        <v>78000</v>
      </c>
      <c r="C11" s="11">
        <f t="shared" si="0"/>
        <v>19500</v>
      </c>
      <c r="D11" s="12">
        <f t="shared" si="1"/>
        <v>25</v>
      </c>
    </row>
    <row r="12" spans="1:10" x14ac:dyDescent="0.35">
      <c r="A12" s="10" t="s">
        <v>18</v>
      </c>
      <c r="B12" s="11">
        <v>23000</v>
      </c>
      <c r="C12" s="11">
        <f t="shared" si="0"/>
        <v>5750</v>
      </c>
      <c r="D12" s="12">
        <f t="shared" si="1"/>
        <v>25</v>
      </c>
    </row>
    <row r="13" spans="1:10" x14ac:dyDescent="0.35">
      <c r="A13" s="10" t="s">
        <v>19</v>
      </c>
      <c r="B13" s="11">
        <v>12000</v>
      </c>
      <c r="C13" s="11">
        <f t="shared" si="0"/>
        <v>3000</v>
      </c>
      <c r="D13" s="12">
        <f t="shared" si="1"/>
        <v>25</v>
      </c>
    </row>
    <row r="14" spans="1:10" x14ac:dyDescent="0.35">
      <c r="A14" s="10" t="s">
        <v>20</v>
      </c>
      <c r="B14" s="11">
        <v>56000</v>
      </c>
      <c r="C14" s="11">
        <f t="shared" si="0"/>
        <v>14000</v>
      </c>
      <c r="D14" s="12">
        <f t="shared" si="1"/>
        <v>25</v>
      </c>
    </row>
    <row r="15" spans="1:10" x14ac:dyDescent="0.35">
      <c r="A15" s="10" t="s">
        <v>21</v>
      </c>
      <c r="B15" s="11">
        <v>12000</v>
      </c>
      <c r="C15" s="11">
        <f t="shared" si="0"/>
        <v>3000</v>
      </c>
      <c r="D15" s="12">
        <f t="shared" si="1"/>
        <v>25</v>
      </c>
    </row>
    <row r="16" spans="1:10" x14ac:dyDescent="0.35">
      <c r="A16" s="10" t="s">
        <v>22</v>
      </c>
      <c r="B16" s="11">
        <v>82787</v>
      </c>
      <c r="C16" s="11">
        <f t="shared" si="0"/>
        <v>20696.75</v>
      </c>
      <c r="D16" s="12">
        <f t="shared" si="1"/>
        <v>25</v>
      </c>
    </row>
    <row r="17" spans="1:4" x14ac:dyDescent="0.35">
      <c r="A17" s="10" t="s">
        <v>23</v>
      </c>
      <c r="B17" s="11">
        <v>27416</v>
      </c>
      <c r="C17" s="11">
        <f t="shared" si="0"/>
        <v>6854</v>
      </c>
      <c r="D17" s="12">
        <f t="shared" si="1"/>
        <v>25</v>
      </c>
    </row>
    <row r="18" spans="1:4" x14ac:dyDescent="0.35">
      <c r="A18" s="10" t="s">
        <v>24</v>
      </c>
      <c r="B18" s="11">
        <v>44691</v>
      </c>
      <c r="C18" s="11">
        <f t="shared" si="0"/>
        <v>11172.75</v>
      </c>
      <c r="D18" s="12">
        <f t="shared" si="1"/>
        <v>25</v>
      </c>
    </row>
    <row r="19" spans="1:4" x14ac:dyDescent="0.35">
      <c r="A19" s="10" t="s">
        <v>25</v>
      </c>
      <c r="B19" s="11">
        <v>84983</v>
      </c>
      <c r="C19" s="11">
        <f t="shared" si="0"/>
        <v>21245.75</v>
      </c>
      <c r="D19" s="12">
        <f t="shared" si="1"/>
        <v>25</v>
      </c>
    </row>
    <row r="20" spans="1:4" x14ac:dyDescent="0.35">
      <c r="A20" s="10" t="s">
        <v>26</v>
      </c>
      <c r="B20" s="11">
        <v>87445</v>
      </c>
      <c r="C20" s="11">
        <f t="shared" si="0"/>
        <v>21861.25</v>
      </c>
      <c r="D20" s="12">
        <f t="shared" si="1"/>
        <v>25</v>
      </c>
    </row>
    <row r="21" spans="1:4" x14ac:dyDescent="0.35">
      <c r="A21" s="10" t="s">
        <v>27</v>
      </c>
      <c r="B21" s="11">
        <v>36290</v>
      </c>
      <c r="C21" s="11">
        <f t="shared" si="0"/>
        <v>9072.5</v>
      </c>
      <c r="D21" s="12">
        <f t="shared" si="1"/>
        <v>25</v>
      </c>
    </row>
    <row r="22" spans="1:4" x14ac:dyDescent="0.35">
      <c r="A22" s="10" t="s">
        <v>28</v>
      </c>
      <c r="B22" s="11">
        <v>40488</v>
      </c>
      <c r="C22" s="11">
        <f t="shared" si="0"/>
        <v>10122</v>
      </c>
      <c r="D22" s="12">
        <f t="shared" si="1"/>
        <v>25</v>
      </c>
    </row>
    <row r="23" spans="1:4" x14ac:dyDescent="0.35">
      <c r="A23" s="10" t="s">
        <v>29</v>
      </c>
      <c r="B23" s="11">
        <v>69477</v>
      </c>
      <c r="C23" s="11">
        <f t="shared" si="0"/>
        <v>17369.25</v>
      </c>
      <c r="D23" s="12">
        <f t="shared" si="1"/>
        <v>25</v>
      </c>
    </row>
    <row r="24" spans="1:4" x14ac:dyDescent="0.35">
      <c r="A24" s="10" t="s">
        <v>30</v>
      </c>
      <c r="B24" s="11">
        <v>80616</v>
      </c>
      <c r="C24" s="11">
        <f t="shared" si="0"/>
        <v>20154</v>
      </c>
      <c r="D24" s="12">
        <f t="shared" si="1"/>
        <v>25</v>
      </c>
    </row>
    <row r="25" spans="1:4" x14ac:dyDescent="0.35">
      <c r="A25" s="10" t="s">
        <v>31</v>
      </c>
      <c r="B25" s="11">
        <v>19009</v>
      </c>
      <c r="C25" s="11">
        <f t="shared" si="0"/>
        <v>4752.25</v>
      </c>
      <c r="D25" s="12">
        <f t="shared" si="1"/>
        <v>25</v>
      </c>
    </row>
    <row r="26" spans="1:4" x14ac:dyDescent="0.35">
      <c r="A26" s="10" t="s">
        <v>32</v>
      </c>
      <c r="B26" s="11">
        <v>60627</v>
      </c>
      <c r="C26" s="11">
        <f t="shared" si="0"/>
        <v>15156.75</v>
      </c>
      <c r="D26" s="12">
        <f t="shared" si="1"/>
        <v>25</v>
      </c>
    </row>
    <row r="27" spans="1:4" x14ac:dyDescent="0.35">
      <c r="A27" s="10" t="s">
        <v>33</v>
      </c>
      <c r="B27" s="11">
        <v>56874</v>
      </c>
      <c r="C27" s="11">
        <f t="shared" si="0"/>
        <v>14218.5</v>
      </c>
      <c r="D27" s="12">
        <f t="shared" si="1"/>
        <v>25</v>
      </c>
    </row>
    <row r="28" spans="1:4" x14ac:dyDescent="0.35">
      <c r="A28" s="10" t="s">
        <v>34</v>
      </c>
      <c r="B28" s="11">
        <v>65802</v>
      </c>
      <c r="C28" s="11">
        <f t="shared" si="0"/>
        <v>16450.5</v>
      </c>
      <c r="D28" s="12">
        <f t="shared" si="1"/>
        <v>25</v>
      </c>
    </row>
    <row r="29" spans="1:4" x14ac:dyDescent="0.35">
      <c r="A29" s="10" t="s">
        <v>67</v>
      </c>
      <c r="B29" s="11">
        <v>12286</v>
      </c>
      <c r="C29" s="11">
        <f t="shared" si="0"/>
        <v>3071.5</v>
      </c>
      <c r="D29" s="12">
        <f t="shared" si="1"/>
        <v>25</v>
      </c>
    </row>
    <row r="30" spans="1:4" x14ac:dyDescent="0.35">
      <c r="A30" s="13" t="s">
        <v>68</v>
      </c>
      <c r="B30" s="14">
        <v>79327</v>
      </c>
      <c r="C30" s="14">
        <f t="shared" si="0"/>
        <v>19831.75</v>
      </c>
      <c r="D30" s="12">
        <f t="shared" si="1"/>
        <v>25</v>
      </c>
    </row>
    <row r="31" spans="1:4" x14ac:dyDescent="0.35">
      <c r="A31" s="15"/>
      <c r="B31" s="15"/>
      <c r="C31" s="15"/>
      <c r="D31" s="15"/>
    </row>
    <row r="32" spans="1:4" x14ac:dyDescent="0.35">
      <c r="A32" s="15"/>
      <c r="B32" s="15"/>
      <c r="C32" s="15"/>
      <c r="D32" s="15"/>
    </row>
    <row r="33" spans="1:4" x14ac:dyDescent="0.35">
      <c r="A33" s="15"/>
      <c r="B33" s="15"/>
      <c r="C33" s="15"/>
      <c r="D33" s="15"/>
    </row>
    <row r="34" spans="1:4" x14ac:dyDescent="0.35">
      <c r="A34" s="15"/>
      <c r="B34" s="15"/>
      <c r="C34" s="15"/>
      <c r="D34" s="15"/>
    </row>
    <row r="35" spans="1:4" x14ac:dyDescent="0.35">
      <c r="A35" s="15"/>
      <c r="B35" s="15"/>
      <c r="C35" s="15"/>
      <c r="D35" s="15"/>
    </row>
    <row r="36" spans="1:4" x14ac:dyDescent="0.35">
      <c r="A36" s="15"/>
      <c r="B36" s="15"/>
      <c r="C36" s="15"/>
      <c r="D36" s="15"/>
    </row>
    <row r="37" spans="1:4" x14ac:dyDescent="0.35">
      <c r="A37" s="15"/>
      <c r="B37" s="15"/>
      <c r="C37" s="15"/>
      <c r="D37" s="15"/>
    </row>
    <row r="38" spans="1:4" x14ac:dyDescent="0.35">
      <c r="A38" s="15"/>
      <c r="B38" s="15"/>
      <c r="C38" s="15"/>
      <c r="D38" s="15"/>
    </row>
    <row r="39" spans="1:4" x14ac:dyDescent="0.35">
      <c r="A39" s="15"/>
      <c r="B39" s="15"/>
      <c r="C39" s="15"/>
      <c r="D39" s="15"/>
    </row>
    <row r="40" spans="1:4" x14ac:dyDescent="0.35">
      <c r="A40" s="15"/>
      <c r="B40" s="15"/>
      <c r="C40" s="15"/>
      <c r="D40" s="15"/>
    </row>
    <row r="41" spans="1:4" x14ac:dyDescent="0.35">
      <c r="A41" s="15"/>
      <c r="B41" s="15"/>
      <c r="C41" s="15"/>
      <c r="D41" s="15"/>
    </row>
    <row r="42" spans="1:4" x14ac:dyDescent="0.35">
      <c r="A42" s="15"/>
      <c r="B42" s="15"/>
      <c r="C42" s="15"/>
      <c r="D42" s="15"/>
    </row>
    <row r="43" spans="1:4" x14ac:dyDescent="0.35">
      <c r="A43" s="15"/>
      <c r="B43" s="15"/>
      <c r="C43" s="15"/>
      <c r="D43" s="15"/>
    </row>
    <row r="44" spans="1:4" x14ac:dyDescent="0.35">
      <c r="A44" s="15"/>
      <c r="B44" s="15"/>
      <c r="C44" s="15"/>
      <c r="D44" s="15"/>
    </row>
    <row r="45" spans="1:4" x14ac:dyDescent="0.35">
      <c r="A45" s="15"/>
      <c r="B45" s="15"/>
      <c r="C45" s="15"/>
      <c r="D45" s="15"/>
    </row>
    <row r="46" spans="1:4" x14ac:dyDescent="0.35">
      <c r="A46" s="15"/>
      <c r="B46" s="15"/>
      <c r="C46" s="15"/>
      <c r="D46" s="15"/>
    </row>
    <row r="47" spans="1:4" x14ac:dyDescent="0.35">
      <c r="A47" s="15"/>
      <c r="B47" s="15"/>
      <c r="C47" s="15"/>
      <c r="D47" s="15"/>
    </row>
    <row r="48" spans="1:4" x14ac:dyDescent="0.35">
      <c r="A48" s="15"/>
      <c r="B48" s="15"/>
      <c r="C48" s="15"/>
      <c r="D48" s="15"/>
    </row>
    <row r="49" spans="1:4" x14ac:dyDescent="0.35">
      <c r="A49" s="15"/>
      <c r="B49" s="15"/>
      <c r="C49" s="15"/>
      <c r="D49" s="15"/>
    </row>
    <row r="50" spans="1:4" x14ac:dyDescent="0.35">
      <c r="A50" s="15"/>
      <c r="B50" s="15"/>
      <c r="C50" s="15"/>
      <c r="D50" s="15"/>
    </row>
    <row r="51" spans="1:4" x14ac:dyDescent="0.35">
      <c r="A51" s="15"/>
      <c r="B51" s="15"/>
      <c r="C51" s="15"/>
      <c r="D51" s="15"/>
    </row>
    <row r="52" spans="1:4" x14ac:dyDescent="0.35">
      <c r="A52" s="15"/>
      <c r="B52" s="15"/>
      <c r="C52" s="15"/>
      <c r="D52" s="15"/>
    </row>
    <row r="53" spans="1:4" x14ac:dyDescent="0.35">
      <c r="A53" s="15"/>
      <c r="B53" s="15"/>
      <c r="C53" s="15"/>
      <c r="D53" s="15"/>
    </row>
    <row r="54" spans="1:4" x14ac:dyDescent="0.35">
      <c r="A54" s="15"/>
      <c r="B54" s="15"/>
      <c r="C54" s="15"/>
      <c r="D54" s="15"/>
    </row>
    <row r="55" spans="1:4" x14ac:dyDescent="0.35">
      <c r="A55" s="15"/>
      <c r="B55" s="15"/>
      <c r="C55" s="15"/>
      <c r="D55" s="15"/>
    </row>
    <row r="56" spans="1:4" x14ac:dyDescent="0.35">
      <c r="A56" s="15"/>
      <c r="B56" s="15"/>
      <c r="C56" s="15"/>
      <c r="D56" s="15"/>
    </row>
    <row r="57" spans="1:4" x14ac:dyDescent="0.35">
      <c r="A57" s="15"/>
      <c r="B57" s="15"/>
      <c r="C57" s="15"/>
      <c r="D57" s="15"/>
    </row>
    <row r="58" spans="1:4" x14ac:dyDescent="0.35">
      <c r="A58" s="15"/>
      <c r="B58" s="15"/>
      <c r="C58" s="15"/>
      <c r="D58" s="15"/>
    </row>
    <row r="59" spans="1:4" x14ac:dyDescent="0.35">
      <c r="A59" s="15"/>
      <c r="B59" s="15"/>
      <c r="C59" s="15"/>
      <c r="D59" s="15"/>
    </row>
    <row r="60" spans="1:4" x14ac:dyDescent="0.35">
      <c r="A60" s="15"/>
      <c r="B60" s="15"/>
      <c r="C60" s="15"/>
      <c r="D60" s="15"/>
    </row>
    <row r="61" spans="1:4" x14ac:dyDescent="0.35">
      <c r="A61" s="15"/>
      <c r="B61" s="15"/>
      <c r="C61" s="15"/>
      <c r="D61" s="15"/>
    </row>
    <row r="62" spans="1:4" x14ac:dyDescent="0.35">
      <c r="A62" s="15"/>
      <c r="B62" s="15"/>
      <c r="C62" s="15"/>
      <c r="D62" s="15"/>
    </row>
    <row r="63" spans="1:4" x14ac:dyDescent="0.35">
      <c r="A63" s="15"/>
      <c r="B63" s="15"/>
      <c r="C63" s="15"/>
      <c r="D63" s="15"/>
    </row>
    <row r="64" spans="1:4" x14ac:dyDescent="0.35">
      <c r="A64" s="15"/>
      <c r="B64" s="15"/>
      <c r="C64" s="15"/>
      <c r="D64" s="15"/>
    </row>
    <row r="65" spans="1:4" x14ac:dyDescent="0.35">
      <c r="A65" s="15"/>
      <c r="B65" s="15"/>
      <c r="C65" s="15"/>
      <c r="D65" s="15"/>
    </row>
    <row r="66" spans="1:4" x14ac:dyDescent="0.35">
      <c r="A66" s="15"/>
      <c r="B66" s="15"/>
      <c r="C66" s="15"/>
      <c r="D66" s="15"/>
    </row>
    <row r="67" spans="1:4" x14ac:dyDescent="0.35">
      <c r="A67" s="15"/>
      <c r="B67" s="15"/>
      <c r="C67" s="15"/>
      <c r="D67" s="15"/>
    </row>
    <row r="68" spans="1:4" x14ac:dyDescent="0.35">
      <c r="A68" s="15"/>
      <c r="B68" s="15"/>
      <c r="C68" s="15"/>
      <c r="D68" s="15"/>
    </row>
    <row r="69" spans="1:4" x14ac:dyDescent="0.35">
      <c r="A69" s="15"/>
      <c r="B69" s="15"/>
      <c r="C69" s="15"/>
      <c r="D69" s="15"/>
    </row>
    <row r="70" spans="1:4" x14ac:dyDescent="0.35">
      <c r="A70" s="15"/>
      <c r="B70" s="15"/>
      <c r="C70" s="15"/>
      <c r="D70" s="15"/>
    </row>
    <row r="71" spans="1:4" x14ac:dyDescent="0.35">
      <c r="A71" s="15"/>
      <c r="B71" s="15"/>
      <c r="C71" s="15"/>
      <c r="D71" s="15"/>
    </row>
    <row r="72" spans="1:4" x14ac:dyDescent="0.35">
      <c r="A72" s="15"/>
      <c r="B72" s="15"/>
      <c r="C72" s="15"/>
      <c r="D72" s="15"/>
    </row>
    <row r="73" spans="1:4" x14ac:dyDescent="0.35">
      <c r="A73" s="15"/>
      <c r="B73" s="15"/>
      <c r="C73" s="15"/>
      <c r="D73" s="15"/>
    </row>
    <row r="74" spans="1:4" x14ac:dyDescent="0.35">
      <c r="A74" s="15"/>
      <c r="B74" s="15"/>
      <c r="C74" s="15"/>
      <c r="D74" s="15"/>
    </row>
    <row r="75" spans="1:4" x14ac:dyDescent="0.35">
      <c r="A75" s="15"/>
      <c r="B75" s="15"/>
      <c r="C75" s="15"/>
      <c r="D75" s="15"/>
    </row>
    <row r="76" spans="1:4" x14ac:dyDescent="0.35">
      <c r="A76" s="15"/>
      <c r="B76" s="15"/>
      <c r="C76" s="15"/>
      <c r="D76" s="15"/>
    </row>
    <row r="77" spans="1:4" x14ac:dyDescent="0.35">
      <c r="A77" s="15"/>
      <c r="B77" s="15"/>
      <c r="C77" s="15"/>
      <c r="D77" s="15"/>
    </row>
    <row r="78" spans="1:4" x14ac:dyDescent="0.35">
      <c r="A78" s="15"/>
      <c r="B78" s="15"/>
      <c r="C78" s="15"/>
      <c r="D78" s="15"/>
    </row>
    <row r="79" spans="1:4" x14ac:dyDescent="0.35">
      <c r="A79" s="15"/>
      <c r="B79" s="15"/>
      <c r="C79" s="15"/>
      <c r="D79" s="15"/>
    </row>
    <row r="80" spans="1:4" x14ac:dyDescent="0.35">
      <c r="A80" s="15"/>
      <c r="B80" s="15"/>
      <c r="C80" s="15"/>
      <c r="D80" s="15"/>
    </row>
    <row r="81" spans="1:4" x14ac:dyDescent="0.35">
      <c r="A81" s="15"/>
      <c r="B81" s="15"/>
      <c r="C81" s="15"/>
      <c r="D81" s="15"/>
    </row>
    <row r="82" spans="1:4" x14ac:dyDescent="0.35">
      <c r="A82" s="15"/>
      <c r="B82" s="15"/>
      <c r="C82" s="15"/>
      <c r="D82" s="15"/>
    </row>
    <row r="83" spans="1:4" x14ac:dyDescent="0.35">
      <c r="A83" s="15"/>
      <c r="B83" s="15"/>
      <c r="C83" s="15"/>
      <c r="D83" s="15"/>
    </row>
    <row r="84" spans="1:4" x14ac:dyDescent="0.35">
      <c r="A84" s="15"/>
      <c r="B84" s="15"/>
      <c r="C84" s="15"/>
      <c r="D84" s="15"/>
    </row>
    <row r="85" spans="1:4" x14ac:dyDescent="0.35">
      <c r="A85" s="15"/>
      <c r="B85" s="15"/>
      <c r="C85" s="15"/>
      <c r="D85" s="15"/>
    </row>
    <row r="86" spans="1:4" x14ac:dyDescent="0.35">
      <c r="A86" s="15"/>
      <c r="B86" s="15"/>
      <c r="C86" s="15"/>
      <c r="D86" s="15"/>
    </row>
    <row r="87" spans="1:4" x14ac:dyDescent="0.35">
      <c r="A87" s="15"/>
      <c r="B87" s="15"/>
      <c r="C87" s="15"/>
      <c r="D87" s="15"/>
    </row>
    <row r="88" spans="1:4" x14ac:dyDescent="0.35">
      <c r="A88" s="15"/>
      <c r="B88" s="15"/>
      <c r="C88" s="15"/>
      <c r="D88" s="15"/>
    </row>
    <row r="89" spans="1:4" x14ac:dyDescent="0.35">
      <c r="A89" s="15"/>
      <c r="B89" s="15"/>
      <c r="C89" s="15"/>
      <c r="D89" s="15"/>
    </row>
    <row r="90" spans="1:4" x14ac:dyDescent="0.35">
      <c r="A90" s="15"/>
      <c r="B90" s="15"/>
      <c r="C90" s="15"/>
      <c r="D90" s="15"/>
    </row>
    <row r="91" spans="1:4" x14ac:dyDescent="0.35">
      <c r="A91" s="15"/>
      <c r="B91" s="15"/>
      <c r="C91" s="15"/>
      <c r="D91" s="15"/>
    </row>
    <row r="92" spans="1:4" x14ac:dyDescent="0.35">
      <c r="A92" s="15"/>
      <c r="B92" s="15"/>
      <c r="C92" s="15"/>
      <c r="D92" s="15"/>
    </row>
    <row r="93" spans="1:4" x14ac:dyDescent="0.35">
      <c r="A93" s="15"/>
      <c r="B93" s="15"/>
      <c r="C93" s="15"/>
      <c r="D93" s="15"/>
    </row>
    <row r="94" spans="1:4" x14ac:dyDescent="0.35">
      <c r="A94" s="15"/>
      <c r="B94" s="15"/>
      <c r="C94" s="15"/>
      <c r="D94" s="15"/>
    </row>
    <row r="95" spans="1:4" x14ac:dyDescent="0.35">
      <c r="A95" s="15"/>
      <c r="B95" s="15"/>
      <c r="C95" s="15"/>
      <c r="D95" s="15"/>
    </row>
    <row r="96" spans="1:4" x14ac:dyDescent="0.35">
      <c r="A96" s="15"/>
      <c r="B96" s="15"/>
      <c r="C96" s="15"/>
      <c r="D96" s="15"/>
    </row>
    <row r="97" spans="1:4" x14ac:dyDescent="0.35">
      <c r="A97" s="15"/>
      <c r="B97" s="15"/>
      <c r="C97" s="15"/>
      <c r="D97" s="15"/>
    </row>
    <row r="98" spans="1:4" x14ac:dyDescent="0.35">
      <c r="A98" s="15"/>
      <c r="B98" s="15"/>
      <c r="C98" s="15"/>
      <c r="D98" s="15"/>
    </row>
    <row r="99" spans="1:4" x14ac:dyDescent="0.35">
      <c r="A99" s="15"/>
      <c r="B99" s="15"/>
      <c r="C99" s="15"/>
      <c r="D99" s="15"/>
    </row>
    <row r="100" spans="1:4" x14ac:dyDescent="0.35">
      <c r="A100" s="15"/>
      <c r="B100" s="15"/>
      <c r="C100" s="15"/>
      <c r="D100" s="15"/>
    </row>
    <row r="101" spans="1:4" x14ac:dyDescent="0.35">
      <c r="A101" s="15"/>
      <c r="B101" s="15"/>
      <c r="C101" s="15"/>
      <c r="D101" s="15"/>
    </row>
    <row r="102" spans="1:4" x14ac:dyDescent="0.35">
      <c r="A102" s="15"/>
      <c r="B102" s="15"/>
      <c r="C102" s="15"/>
      <c r="D102" s="15"/>
    </row>
    <row r="103" spans="1:4" x14ac:dyDescent="0.35">
      <c r="A103" s="15"/>
      <c r="B103" s="15"/>
      <c r="C103" s="15"/>
      <c r="D103" s="15"/>
    </row>
    <row r="104" spans="1:4" x14ac:dyDescent="0.35">
      <c r="A104" s="15"/>
      <c r="B104" s="15"/>
      <c r="C104" s="15"/>
      <c r="D104" s="15"/>
    </row>
    <row r="105" spans="1:4" x14ac:dyDescent="0.35">
      <c r="A105" s="15"/>
      <c r="B105" s="15"/>
      <c r="C105" s="15"/>
      <c r="D105" s="15"/>
    </row>
    <row r="106" spans="1:4" x14ac:dyDescent="0.35">
      <c r="A106" s="15"/>
      <c r="B106" s="15"/>
      <c r="C106" s="15"/>
      <c r="D106" s="15"/>
    </row>
    <row r="107" spans="1:4" x14ac:dyDescent="0.35">
      <c r="A107" s="15"/>
      <c r="B107" s="15"/>
      <c r="C107" s="15"/>
      <c r="D107" s="15"/>
    </row>
    <row r="108" spans="1:4" x14ac:dyDescent="0.35">
      <c r="A108" s="15"/>
      <c r="B108" s="15"/>
      <c r="C108" s="15"/>
      <c r="D108" s="15"/>
    </row>
    <row r="109" spans="1:4" x14ac:dyDescent="0.35">
      <c r="A109" s="15"/>
      <c r="B109" s="15"/>
      <c r="C109" s="15"/>
      <c r="D109" s="15"/>
    </row>
    <row r="110" spans="1:4" x14ac:dyDescent="0.35">
      <c r="A110" s="15"/>
      <c r="B110" s="15"/>
      <c r="C110" s="15"/>
      <c r="D110" s="15"/>
    </row>
    <row r="111" spans="1:4" x14ac:dyDescent="0.35">
      <c r="A111" s="15"/>
      <c r="B111" s="15"/>
      <c r="C111" s="15"/>
      <c r="D111" s="15"/>
    </row>
    <row r="112" spans="1:4" x14ac:dyDescent="0.35">
      <c r="A112" s="15"/>
      <c r="B112" s="15"/>
      <c r="C112" s="15"/>
      <c r="D112" s="15"/>
    </row>
    <row r="113" spans="1:4" x14ac:dyDescent="0.35">
      <c r="A113" s="15"/>
      <c r="B113" s="15"/>
      <c r="C113" s="15"/>
      <c r="D113" s="15"/>
    </row>
    <row r="114" spans="1:4" x14ac:dyDescent="0.35">
      <c r="A114" s="15"/>
      <c r="B114" s="15"/>
      <c r="C114" s="15"/>
      <c r="D114" s="15"/>
    </row>
    <row r="115" spans="1:4" x14ac:dyDescent="0.35">
      <c r="A115" s="15"/>
      <c r="B115" s="15"/>
      <c r="C115" s="15"/>
      <c r="D115" s="15"/>
    </row>
    <row r="116" spans="1:4" x14ac:dyDescent="0.35">
      <c r="A116" s="15"/>
      <c r="B116" s="15"/>
      <c r="C116" s="15"/>
      <c r="D116" s="15"/>
    </row>
    <row r="117" spans="1:4" x14ac:dyDescent="0.35">
      <c r="A117" s="15"/>
      <c r="B117" s="15"/>
      <c r="C117" s="15"/>
      <c r="D117" s="15"/>
    </row>
    <row r="118" spans="1:4" x14ac:dyDescent="0.35">
      <c r="A118" s="15"/>
      <c r="B118" s="15"/>
      <c r="C118" s="15"/>
      <c r="D118" s="15"/>
    </row>
    <row r="119" spans="1:4" x14ac:dyDescent="0.35">
      <c r="A119" s="15"/>
      <c r="B119" s="15"/>
      <c r="C119" s="15"/>
      <c r="D119" s="15"/>
    </row>
    <row r="120" spans="1:4" x14ac:dyDescent="0.35">
      <c r="A120" s="15"/>
      <c r="B120" s="15"/>
      <c r="C120" s="15"/>
      <c r="D120" s="15"/>
    </row>
    <row r="121" spans="1:4" x14ac:dyDescent="0.35">
      <c r="A121" s="15"/>
      <c r="B121" s="15"/>
      <c r="C121" s="15"/>
      <c r="D121" s="15"/>
    </row>
    <row r="122" spans="1:4" x14ac:dyDescent="0.35">
      <c r="A122" s="15"/>
      <c r="B122" s="15"/>
      <c r="C122" s="15"/>
      <c r="D122" s="15"/>
    </row>
    <row r="123" spans="1:4" x14ac:dyDescent="0.35">
      <c r="A123" s="15"/>
      <c r="B123" s="15"/>
      <c r="C123" s="15"/>
      <c r="D123" s="15"/>
    </row>
    <row r="124" spans="1:4" x14ac:dyDescent="0.35">
      <c r="A124" s="15"/>
      <c r="B124" s="15"/>
      <c r="C124" s="15"/>
      <c r="D124" s="15"/>
    </row>
    <row r="125" spans="1:4" x14ac:dyDescent="0.35">
      <c r="A125" s="15"/>
      <c r="B125" s="15"/>
      <c r="C125" s="15"/>
      <c r="D125" s="15"/>
    </row>
    <row r="126" spans="1:4" x14ac:dyDescent="0.35">
      <c r="A126" s="15"/>
      <c r="B126" s="15"/>
      <c r="C126" s="15"/>
      <c r="D126" s="15"/>
    </row>
    <row r="127" spans="1:4" x14ac:dyDescent="0.35">
      <c r="A127" s="15"/>
      <c r="B127" s="15"/>
      <c r="C127" s="15"/>
      <c r="D127" s="15"/>
    </row>
    <row r="128" spans="1:4" x14ac:dyDescent="0.35">
      <c r="A128" s="15"/>
      <c r="B128" s="15"/>
      <c r="C128" s="15"/>
      <c r="D128" s="15"/>
    </row>
    <row r="129" spans="1:4" x14ac:dyDescent="0.35">
      <c r="A129" s="15"/>
      <c r="B129" s="15"/>
      <c r="C129" s="15"/>
      <c r="D129" s="15"/>
    </row>
    <row r="130" spans="1:4" x14ac:dyDescent="0.35">
      <c r="A130" s="15"/>
      <c r="B130" s="15"/>
      <c r="C130" s="15"/>
      <c r="D130" s="15"/>
    </row>
    <row r="131" spans="1:4" x14ac:dyDescent="0.35">
      <c r="A131" s="15"/>
      <c r="B131" s="15"/>
      <c r="C131" s="15"/>
      <c r="D131" s="15"/>
    </row>
    <row r="132" spans="1:4" x14ac:dyDescent="0.35">
      <c r="A132" s="15"/>
      <c r="B132" s="15"/>
      <c r="C132" s="15"/>
      <c r="D132" s="15"/>
    </row>
    <row r="133" spans="1:4" x14ac:dyDescent="0.35">
      <c r="A133" s="15"/>
      <c r="B133" s="15"/>
      <c r="C133" s="15"/>
      <c r="D133" s="15"/>
    </row>
    <row r="134" spans="1:4" x14ac:dyDescent="0.35">
      <c r="A134" s="15"/>
      <c r="B134" s="15"/>
      <c r="C134" s="15"/>
      <c r="D134" s="15"/>
    </row>
    <row r="135" spans="1:4" x14ac:dyDescent="0.35">
      <c r="A135" s="15"/>
      <c r="B135" s="15"/>
      <c r="C135" s="15"/>
      <c r="D135" s="15"/>
    </row>
    <row r="136" spans="1:4" x14ac:dyDescent="0.35">
      <c r="A136" s="15"/>
      <c r="B136" s="15"/>
      <c r="C136" s="15"/>
      <c r="D136" s="15"/>
    </row>
    <row r="137" spans="1:4" x14ac:dyDescent="0.35">
      <c r="A137" s="15"/>
      <c r="B137" s="15"/>
      <c r="C137" s="15"/>
      <c r="D137" s="15"/>
    </row>
    <row r="138" spans="1:4" x14ac:dyDescent="0.35">
      <c r="A138" s="15"/>
      <c r="B138" s="15"/>
      <c r="C138" s="15"/>
      <c r="D138" s="15"/>
    </row>
    <row r="139" spans="1:4" x14ac:dyDescent="0.35">
      <c r="A139" s="15"/>
      <c r="B139" s="15"/>
      <c r="C139" s="15"/>
      <c r="D139" s="15"/>
    </row>
    <row r="140" spans="1:4" x14ac:dyDescent="0.35">
      <c r="A140" s="15"/>
      <c r="B140" s="15"/>
      <c r="C140" s="15"/>
      <c r="D140" s="15"/>
    </row>
    <row r="141" spans="1:4" x14ac:dyDescent="0.35">
      <c r="A141" s="15"/>
      <c r="B141" s="15"/>
      <c r="C141" s="15"/>
      <c r="D141" s="15"/>
    </row>
    <row r="142" spans="1:4" x14ac:dyDescent="0.35">
      <c r="A142" s="15"/>
      <c r="B142" s="15"/>
      <c r="C142" s="15"/>
      <c r="D142" s="15"/>
    </row>
    <row r="143" spans="1:4" x14ac:dyDescent="0.35">
      <c r="A143" s="15"/>
      <c r="B143" s="15"/>
      <c r="C143" s="15"/>
      <c r="D143" s="15"/>
    </row>
    <row r="144" spans="1:4" x14ac:dyDescent="0.35">
      <c r="A144" s="15"/>
      <c r="B144" s="15"/>
      <c r="C144" s="15"/>
      <c r="D144" s="15"/>
    </row>
    <row r="145" spans="1:4" x14ac:dyDescent="0.35">
      <c r="A145" s="15"/>
      <c r="B145" s="15"/>
      <c r="C145" s="15"/>
      <c r="D145" s="15"/>
    </row>
    <row r="146" spans="1:4" x14ac:dyDescent="0.35">
      <c r="A146" s="15"/>
      <c r="B146" s="15"/>
      <c r="C146" s="15"/>
      <c r="D146" s="15"/>
    </row>
    <row r="147" spans="1:4" x14ac:dyDescent="0.35">
      <c r="A147" s="15"/>
      <c r="B147" s="15"/>
      <c r="C147" s="15"/>
      <c r="D147" s="15"/>
    </row>
    <row r="148" spans="1:4" x14ac:dyDescent="0.35">
      <c r="A148" s="15"/>
      <c r="B148" s="15"/>
      <c r="C148" s="15"/>
      <c r="D148" s="15"/>
    </row>
    <row r="149" spans="1:4" x14ac:dyDescent="0.35">
      <c r="A149" s="15"/>
      <c r="B149" s="15"/>
      <c r="C149" s="15"/>
      <c r="D149" s="15"/>
    </row>
    <row r="150" spans="1:4" x14ac:dyDescent="0.35">
      <c r="A150" s="15"/>
      <c r="B150" s="15"/>
      <c r="C150" s="15"/>
      <c r="D150" s="15"/>
    </row>
    <row r="151" spans="1:4" x14ac:dyDescent="0.35">
      <c r="A151" s="15"/>
      <c r="B151" s="15"/>
      <c r="C151" s="15"/>
      <c r="D151" s="15"/>
    </row>
    <row r="152" spans="1:4" x14ac:dyDescent="0.35">
      <c r="A152" s="15"/>
      <c r="B152" s="15"/>
      <c r="C152" s="15"/>
      <c r="D152" s="15"/>
    </row>
    <row r="153" spans="1:4" x14ac:dyDescent="0.35">
      <c r="A153" s="15"/>
      <c r="B153" s="15"/>
      <c r="C153" s="15"/>
      <c r="D153" s="15"/>
    </row>
    <row r="154" spans="1:4" x14ac:dyDescent="0.35">
      <c r="A154" s="15"/>
      <c r="B154" s="15"/>
      <c r="C154" s="15"/>
      <c r="D154" s="15"/>
    </row>
    <row r="155" spans="1:4" x14ac:dyDescent="0.35">
      <c r="A155" s="15"/>
      <c r="B155" s="15"/>
      <c r="C155" s="15"/>
      <c r="D155" s="15"/>
    </row>
    <row r="156" spans="1:4" x14ac:dyDescent="0.35">
      <c r="A156" s="15"/>
      <c r="B156" s="15"/>
      <c r="C156" s="15"/>
      <c r="D156" s="15"/>
    </row>
    <row r="157" spans="1:4" x14ac:dyDescent="0.35">
      <c r="A157" s="15"/>
      <c r="B157" s="15"/>
      <c r="C157" s="15"/>
      <c r="D157" s="15"/>
    </row>
    <row r="158" spans="1:4" x14ac:dyDescent="0.35">
      <c r="A158" s="15"/>
      <c r="B158" s="15"/>
      <c r="C158" s="15"/>
      <c r="D158" s="15"/>
    </row>
    <row r="159" spans="1:4" x14ac:dyDescent="0.35">
      <c r="A159" s="15"/>
      <c r="B159" s="15"/>
      <c r="C159" s="15"/>
      <c r="D159" s="15"/>
    </row>
    <row r="160" spans="1:4" x14ac:dyDescent="0.35">
      <c r="A160" s="15"/>
      <c r="B160" s="15"/>
      <c r="C160" s="15"/>
      <c r="D160" s="15"/>
    </row>
    <row r="161" spans="1:4" x14ac:dyDescent="0.35">
      <c r="A161" s="15"/>
      <c r="B161" s="15"/>
      <c r="C161" s="15"/>
      <c r="D161" s="15"/>
    </row>
    <row r="162" spans="1:4" x14ac:dyDescent="0.35">
      <c r="A162" s="15"/>
      <c r="B162" s="15"/>
      <c r="C162" s="15"/>
      <c r="D162" s="15"/>
    </row>
    <row r="163" spans="1:4" x14ac:dyDescent="0.35">
      <c r="A163" s="15"/>
      <c r="B163" s="15"/>
      <c r="C163" s="15"/>
      <c r="D163" s="15"/>
    </row>
    <row r="164" spans="1:4" x14ac:dyDescent="0.35">
      <c r="A164" s="15"/>
      <c r="B164" s="15"/>
      <c r="C164" s="15"/>
      <c r="D164" s="15"/>
    </row>
    <row r="165" spans="1:4" x14ac:dyDescent="0.35">
      <c r="A165" s="15"/>
      <c r="B165" s="15"/>
      <c r="C165" s="15"/>
      <c r="D165" s="15"/>
    </row>
    <row r="166" spans="1:4" x14ac:dyDescent="0.35">
      <c r="A166" s="15"/>
      <c r="B166" s="15"/>
      <c r="C166" s="15"/>
      <c r="D166" s="15"/>
    </row>
    <row r="167" spans="1:4" x14ac:dyDescent="0.35">
      <c r="A167" s="15"/>
      <c r="B167" s="15"/>
      <c r="C167" s="15"/>
      <c r="D167" s="15"/>
    </row>
    <row r="168" spans="1:4" x14ac:dyDescent="0.35">
      <c r="A168" s="15"/>
      <c r="B168" s="15"/>
      <c r="C168" s="15"/>
      <c r="D168" s="15"/>
    </row>
    <row r="169" spans="1:4" x14ac:dyDescent="0.35">
      <c r="A169" s="15"/>
      <c r="B169" s="15"/>
      <c r="C169" s="15"/>
      <c r="D169" s="15"/>
    </row>
    <row r="170" spans="1:4" x14ac:dyDescent="0.35">
      <c r="A170" s="15"/>
      <c r="B170" s="15"/>
      <c r="C170" s="15"/>
      <c r="D170" s="15"/>
    </row>
    <row r="171" spans="1:4" x14ac:dyDescent="0.35">
      <c r="A171" s="15"/>
      <c r="B171" s="15"/>
      <c r="C171" s="15"/>
      <c r="D171" s="15"/>
    </row>
    <row r="172" spans="1:4" x14ac:dyDescent="0.35">
      <c r="A172" s="15"/>
      <c r="B172" s="15"/>
      <c r="C172" s="15"/>
      <c r="D172" s="15"/>
    </row>
    <row r="173" spans="1:4" x14ac:dyDescent="0.35">
      <c r="A173" s="15"/>
      <c r="B173" s="15"/>
      <c r="C173" s="15"/>
      <c r="D173" s="15"/>
    </row>
    <row r="174" spans="1:4" x14ac:dyDescent="0.35">
      <c r="A174" s="15"/>
      <c r="B174" s="15"/>
      <c r="C174" s="15"/>
      <c r="D174" s="15"/>
    </row>
    <row r="175" spans="1:4" x14ac:dyDescent="0.35">
      <c r="A175" s="15"/>
      <c r="B175" s="15"/>
      <c r="C175" s="15"/>
      <c r="D175" s="15"/>
    </row>
    <row r="176" spans="1:4" x14ac:dyDescent="0.35">
      <c r="A176" s="15"/>
      <c r="B176" s="15"/>
      <c r="C176" s="15"/>
      <c r="D176" s="15"/>
    </row>
    <row r="177" spans="1:4" x14ac:dyDescent="0.35">
      <c r="A177" s="15"/>
      <c r="B177" s="15"/>
      <c r="C177" s="15"/>
      <c r="D177" s="15"/>
    </row>
    <row r="178" spans="1:4" x14ac:dyDescent="0.35">
      <c r="A178" s="15"/>
      <c r="B178" s="15"/>
      <c r="C178" s="15"/>
      <c r="D178" s="15"/>
    </row>
    <row r="179" spans="1:4" x14ac:dyDescent="0.35">
      <c r="A179" s="15"/>
      <c r="B179" s="15"/>
      <c r="C179" s="15"/>
      <c r="D179" s="15"/>
    </row>
    <row r="180" spans="1:4" x14ac:dyDescent="0.35">
      <c r="A180" s="15"/>
      <c r="B180" s="15"/>
      <c r="C180" s="15"/>
      <c r="D180" s="15"/>
    </row>
    <row r="181" spans="1:4" x14ac:dyDescent="0.35">
      <c r="A181" s="15"/>
      <c r="B181" s="15"/>
      <c r="C181" s="15"/>
      <c r="D181" s="15"/>
    </row>
    <row r="182" spans="1:4" x14ac:dyDescent="0.35">
      <c r="A182" s="15"/>
      <c r="B182" s="15"/>
      <c r="C182" s="15"/>
      <c r="D182" s="15"/>
    </row>
    <row r="183" spans="1:4" x14ac:dyDescent="0.35">
      <c r="A183" s="15"/>
      <c r="B183" s="15"/>
      <c r="C183" s="15"/>
      <c r="D183" s="15"/>
    </row>
    <row r="184" spans="1:4" x14ac:dyDescent="0.35">
      <c r="A184" s="15"/>
      <c r="B184" s="15"/>
      <c r="C184" s="15"/>
      <c r="D184" s="15"/>
    </row>
    <row r="185" spans="1:4" x14ac:dyDescent="0.35">
      <c r="A185" s="15"/>
      <c r="B185" s="15"/>
      <c r="C185" s="15"/>
      <c r="D185" s="15"/>
    </row>
    <row r="186" spans="1:4" x14ac:dyDescent="0.35">
      <c r="A186" s="15"/>
      <c r="B186" s="15"/>
      <c r="C186" s="15"/>
      <c r="D186" s="15"/>
    </row>
    <row r="187" spans="1:4" x14ac:dyDescent="0.35">
      <c r="A187" s="15"/>
      <c r="B187" s="15"/>
      <c r="C187" s="15"/>
      <c r="D187" s="15"/>
    </row>
    <row r="188" spans="1:4" x14ac:dyDescent="0.35">
      <c r="A188" s="15"/>
      <c r="B188" s="15"/>
      <c r="C188" s="15"/>
      <c r="D188" s="15"/>
    </row>
    <row r="189" spans="1:4" x14ac:dyDescent="0.35">
      <c r="A189" s="15"/>
      <c r="B189" s="15"/>
      <c r="C189" s="15"/>
      <c r="D189" s="15"/>
    </row>
    <row r="190" spans="1:4" x14ac:dyDescent="0.35">
      <c r="A190" s="15"/>
      <c r="B190" s="15"/>
      <c r="C190" s="15"/>
      <c r="D190" s="15"/>
    </row>
    <row r="191" spans="1:4" x14ac:dyDescent="0.35">
      <c r="A191" s="15"/>
      <c r="B191" s="15"/>
      <c r="C191" s="15"/>
      <c r="D191" s="15"/>
    </row>
    <row r="192" spans="1:4" x14ac:dyDescent="0.35">
      <c r="A192" s="15"/>
      <c r="B192" s="15"/>
      <c r="C192" s="15"/>
      <c r="D192" s="15"/>
    </row>
    <row r="193" spans="1:4" x14ac:dyDescent="0.35">
      <c r="A193" s="15"/>
      <c r="B193" s="15"/>
      <c r="C193" s="15"/>
      <c r="D193" s="15"/>
    </row>
    <row r="194" spans="1:4" x14ac:dyDescent="0.35">
      <c r="A194" s="15"/>
      <c r="B194" s="15"/>
      <c r="C194" s="15"/>
      <c r="D194" s="15"/>
    </row>
    <row r="195" spans="1:4" x14ac:dyDescent="0.35">
      <c r="A195" s="15"/>
      <c r="B195" s="15"/>
      <c r="C195" s="15"/>
      <c r="D195" s="15"/>
    </row>
    <row r="196" spans="1:4" x14ac:dyDescent="0.35">
      <c r="A196" s="15"/>
      <c r="B196" s="15"/>
      <c r="C196" s="15"/>
      <c r="D196" s="15"/>
    </row>
    <row r="197" spans="1:4" x14ac:dyDescent="0.35">
      <c r="A197" s="15"/>
      <c r="B197" s="15"/>
      <c r="C197" s="15"/>
      <c r="D197" s="15"/>
    </row>
    <row r="198" spans="1:4" x14ac:dyDescent="0.35">
      <c r="A198" s="15"/>
      <c r="B198" s="15"/>
      <c r="C198" s="15"/>
      <c r="D198" s="15"/>
    </row>
    <row r="199" spans="1:4" x14ac:dyDescent="0.35">
      <c r="A199" s="15"/>
      <c r="B199" s="15"/>
      <c r="C199" s="15"/>
      <c r="D199" s="15"/>
    </row>
    <row r="200" spans="1:4" x14ac:dyDescent="0.35">
      <c r="A200" s="15"/>
      <c r="B200" s="15"/>
      <c r="C200" s="15"/>
      <c r="D200" s="15"/>
    </row>
    <row r="201" spans="1:4" x14ac:dyDescent="0.35">
      <c r="A201" s="15"/>
      <c r="B201" s="15"/>
      <c r="C201" s="15"/>
      <c r="D201" s="15"/>
    </row>
    <row r="202" spans="1:4" x14ac:dyDescent="0.35">
      <c r="A202" s="15"/>
      <c r="B202" s="15"/>
      <c r="C202" s="15"/>
      <c r="D202" s="15"/>
    </row>
    <row r="203" spans="1:4" x14ac:dyDescent="0.35">
      <c r="A203" s="15"/>
      <c r="B203" s="15"/>
      <c r="C203" s="15"/>
      <c r="D203" s="15"/>
    </row>
    <row r="204" spans="1:4" x14ac:dyDescent="0.35">
      <c r="A204" s="15"/>
      <c r="B204" s="15"/>
      <c r="C204" s="15"/>
      <c r="D204" s="15"/>
    </row>
    <row r="205" spans="1:4" x14ac:dyDescent="0.35">
      <c r="A205" s="15"/>
      <c r="B205" s="15"/>
      <c r="C205" s="15"/>
      <c r="D205" s="15"/>
    </row>
    <row r="206" spans="1:4" x14ac:dyDescent="0.35">
      <c r="A206" s="15"/>
      <c r="B206" s="15"/>
      <c r="C206" s="15"/>
      <c r="D206" s="15"/>
    </row>
    <row r="207" spans="1:4" x14ac:dyDescent="0.35">
      <c r="A207" s="15"/>
      <c r="B207" s="15"/>
      <c r="C207" s="15"/>
      <c r="D207" s="15"/>
    </row>
    <row r="208" spans="1:4" x14ac:dyDescent="0.35">
      <c r="A208" s="15"/>
      <c r="B208" s="15"/>
      <c r="C208" s="15"/>
      <c r="D208" s="15"/>
    </row>
    <row r="209" spans="1:4" x14ac:dyDescent="0.35">
      <c r="A209" s="15"/>
      <c r="B209" s="15"/>
      <c r="C209" s="15"/>
      <c r="D209" s="15"/>
    </row>
    <row r="210" spans="1:4" x14ac:dyDescent="0.35">
      <c r="A210" s="15"/>
      <c r="B210" s="15"/>
      <c r="C210" s="15"/>
      <c r="D210" s="15"/>
    </row>
    <row r="211" spans="1:4" x14ac:dyDescent="0.35">
      <c r="A211" s="15"/>
      <c r="B211" s="15"/>
      <c r="C211" s="15"/>
      <c r="D211" s="15"/>
    </row>
    <row r="212" spans="1:4" x14ac:dyDescent="0.35">
      <c r="A212" s="15"/>
      <c r="B212" s="15"/>
      <c r="C212" s="15"/>
      <c r="D212" s="15"/>
    </row>
    <row r="213" spans="1:4" x14ac:dyDescent="0.35">
      <c r="A213" s="15"/>
      <c r="B213" s="15"/>
      <c r="C213" s="15"/>
      <c r="D213" s="15"/>
    </row>
  </sheetData>
  <mergeCells count="1">
    <mergeCell ref="A1:D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A14" zoomScale="72" workbookViewId="0">
      <selection activeCell="P22" sqref="P22"/>
    </sheetView>
  </sheetViews>
  <sheetFormatPr defaultRowHeight="14.5" x14ac:dyDescent="0.35"/>
  <cols>
    <col min="1" max="1" width="10.26953125" bestFit="1" customWidth="1"/>
    <col min="2" max="2" width="10.1796875" bestFit="1" customWidth="1"/>
    <col min="3" max="3" width="8.453125" bestFit="1" customWidth="1"/>
  </cols>
  <sheetData>
    <row r="1" spans="1:14" ht="15" customHeight="1" x14ac:dyDescent="0.35">
      <c r="A1" s="86" t="s">
        <v>70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ht="15" customHeight="1" x14ac:dyDescent="0.3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3" spans="1:14" ht="15" customHeight="1" x14ac:dyDescent="0.3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</row>
    <row r="5" spans="1:14" x14ac:dyDescent="0.35">
      <c r="A5" s="16" t="s">
        <v>71</v>
      </c>
      <c r="B5" s="17" t="s">
        <v>72</v>
      </c>
      <c r="C5" s="18" t="s">
        <v>73</v>
      </c>
    </row>
    <row r="6" spans="1:14" x14ac:dyDescent="0.35">
      <c r="A6" s="19" t="s">
        <v>74</v>
      </c>
      <c r="B6" s="1">
        <v>592</v>
      </c>
      <c r="C6" s="20">
        <v>1162</v>
      </c>
    </row>
    <row r="7" spans="1:14" x14ac:dyDescent="0.35">
      <c r="A7" s="19" t="s">
        <v>75</v>
      </c>
      <c r="B7" s="1">
        <v>630</v>
      </c>
      <c r="C7" s="20">
        <v>4036</v>
      </c>
    </row>
    <row r="8" spans="1:14" x14ac:dyDescent="0.35">
      <c r="A8" s="19" t="s">
        <v>76</v>
      </c>
      <c r="B8" s="1">
        <v>527</v>
      </c>
      <c r="C8" s="20">
        <v>4215</v>
      </c>
    </row>
    <row r="9" spans="1:14" x14ac:dyDescent="0.35">
      <c r="A9" s="19" t="s">
        <v>77</v>
      </c>
      <c r="B9" s="1">
        <v>545</v>
      </c>
      <c r="C9" s="20">
        <v>5334</v>
      </c>
    </row>
    <row r="10" spans="1:14" x14ac:dyDescent="0.35">
      <c r="A10" s="19" t="s">
        <v>78</v>
      </c>
      <c r="B10" s="1">
        <v>582</v>
      </c>
      <c r="C10" s="20">
        <v>6048</v>
      </c>
    </row>
    <row r="11" spans="1:14" x14ac:dyDescent="0.35">
      <c r="A11" s="19" t="s">
        <v>79</v>
      </c>
      <c r="B11" s="1">
        <v>476</v>
      </c>
      <c r="C11" s="20">
        <v>1149</v>
      </c>
    </row>
    <row r="12" spans="1:14" x14ac:dyDescent="0.35">
      <c r="A12" s="19" t="s">
        <v>80</v>
      </c>
      <c r="B12" s="1">
        <v>458</v>
      </c>
      <c r="C12" s="20">
        <v>6069</v>
      </c>
    </row>
    <row r="13" spans="1:14" x14ac:dyDescent="0.35">
      <c r="A13" s="19" t="s">
        <v>81</v>
      </c>
      <c r="B13" s="1">
        <v>448</v>
      </c>
      <c r="C13" s="20">
        <v>5488</v>
      </c>
    </row>
    <row r="14" spans="1:14" x14ac:dyDescent="0.35">
      <c r="A14" s="19" t="s">
        <v>82</v>
      </c>
      <c r="B14" s="1">
        <v>686</v>
      </c>
      <c r="C14" s="20">
        <v>5980</v>
      </c>
    </row>
    <row r="15" spans="1:14" x14ac:dyDescent="0.35">
      <c r="A15" s="19" t="s">
        <v>83</v>
      </c>
      <c r="B15" s="1">
        <v>641</v>
      </c>
      <c r="C15" s="20">
        <v>5084</v>
      </c>
    </row>
    <row r="16" spans="1:14" x14ac:dyDescent="0.35">
      <c r="A16" s="19" t="s">
        <v>84</v>
      </c>
      <c r="B16" s="1">
        <v>696</v>
      </c>
      <c r="C16" s="20">
        <v>1373</v>
      </c>
    </row>
    <row r="17" spans="1:3" x14ac:dyDescent="0.35">
      <c r="A17" s="19" t="s">
        <v>85</v>
      </c>
      <c r="B17" s="1">
        <v>474</v>
      </c>
      <c r="C17" s="20">
        <v>1487</v>
      </c>
    </row>
    <row r="18" spans="1:3" x14ac:dyDescent="0.35">
      <c r="A18" s="19" t="s">
        <v>74</v>
      </c>
      <c r="B18" s="1">
        <v>689</v>
      </c>
      <c r="C18" s="20">
        <v>4203</v>
      </c>
    </row>
    <row r="19" spans="1:3" x14ac:dyDescent="0.35">
      <c r="A19" s="19" t="s">
        <v>75</v>
      </c>
      <c r="B19" s="1">
        <v>446</v>
      </c>
      <c r="C19" s="20">
        <v>4184</v>
      </c>
    </row>
    <row r="20" spans="1:3" x14ac:dyDescent="0.35">
      <c r="A20" s="19" t="s">
        <v>76</v>
      </c>
      <c r="B20" s="1">
        <v>623</v>
      </c>
      <c r="C20" s="20">
        <v>5166</v>
      </c>
    </row>
    <row r="21" spans="1:3" x14ac:dyDescent="0.35">
      <c r="A21" s="19" t="s">
        <v>77</v>
      </c>
      <c r="B21" s="1">
        <v>506</v>
      </c>
      <c r="C21" s="20">
        <v>1128</v>
      </c>
    </row>
    <row r="22" spans="1:3" x14ac:dyDescent="0.35">
      <c r="A22" s="21" t="s">
        <v>78</v>
      </c>
      <c r="B22" s="22">
        <v>613</v>
      </c>
      <c r="C22" s="23">
        <v>1235</v>
      </c>
    </row>
  </sheetData>
  <mergeCells count="1">
    <mergeCell ref="A1:N3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="74" zoomScaleNormal="64" workbookViewId="0">
      <selection activeCell="O26" sqref="O26"/>
    </sheetView>
  </sheetViews>
  <sheetFormatPr defaultRowHeight="14.5" x14ac:dyDescent="0.35"/>
  <cols>
    <col min="6" max="6" width="10.1796875" bestFit="1" customWidth="1"/>
  </cols>
  <sheetData>
    <row r="1" spans="1:13" x14ac:dyDescent="0.35">
      <c r="A1" s="88" t="s">
        <v>94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 x14ac:dyDescent="0.35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13" x14ac:dyDescent="0.35">
      <c r="A3" s="87" t="s">
        <v>86</v>
      </c>
      <c r="B3" s="87"/>
      <c r="C3" s="87"/>
      <c r="F3" s="87" t="s">
        <v>87</v>
      </c>
      <c r="G3" s="87"/>
      <c r="H3" s="87"/>
    </row>
    <row r="4" spans="1:13" x14ac:dyDescent="0.35">
      <c r="A4" s="87"/>
      <c r="B4" s="87"/>
      <c r="C4" s="87"/>
      <c r="F4" s="87"/>
      <c r="G4" s="87"/>
      <c r="H4" s="87"/>
    </row>
    <row r="5" spans="1:13" ht="21" x14ac:dyDescent="0.5">
      <c r="A5" s="24" t="s">
        <v>88</v>
      </c>
      <c r="B5" s="24">
        <v>0</v>
      </c>
      <c r="F5" s="24" t="s">
        <v>89</v>
      </c>
      <c r="G5" s="24">
        <v>120</v>
      </c>
      <c r="H5" s="24"/>
    </row>
    <row r="6" spans="1:13" ht="21" x14ac:dyDescent="0.5">
      <c r="A6" s="24" t="s">
        <v>90</v>
      </c>
      <c r="B6" s="24">
        <v>15</v>
      </c>
      <c r="F6" s="24" t="s">
        <v>87</v>
      </c>
      <c r="G6" s="24">
        <v>12</v>
      </c>
      <c r="H6" s="24"/>
    </row>
    <row r="7" spans="1:13" ht="21" x14ac:dyDescent="0.5">
      <c r="A7" s="24" t="s">
        <v>91</v>
      </c>
      <c r="B7" s="24">
        <v>45</v>
      </c>
      <c r="F7" s="24" t="s">
        <v>92</v>
      </c>
      <c r="G7" s="24">
        <v>360</v>
      </c>
      <c r="H7" s="24"/>
    </row>
    <row r="8" spans="1:13" ht="21" x14ac:dyDescent="0.5">
      <c r="A8" s="24" t="s">
        <v>93</v>
      </c>
      <c r="B8" s="24">
        <v>40</v>
      </c>
    </row>
    <row r="9" spans="1:13" ht="21" x14ac:dyDescent="0.5">
      <c r="A9" s="24" t="s">
        <v>9</v>
      </c>
      <c r="B9" s="24">
        <v>100</v>
      </c>
    </row>
  </sheetData>
  <mergeCells count="3">
    <mergeCell ref="A3:C4"/>
    <mergeCell ref="F3:H4"/>
    <mergeCell ref="A1:M2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zoomScale="48" workbookViewId="0">
      <selection activeCell="K14" sqref="K14"/>
    </sheetView>
  </sheetViews>
  <sheetFormatPr defaultRowHeight="14.5" x14ac:dyDescent="0.35"/>
  <cols>
    <col min="5" max="5" width="14.453125" customWidth="1"/>
    <col min="6" max="6" width="11.1796875" customWidth="1"/>
    <col min="7" max="7" width="10.26953125" customWidth="1"/>
    <col min="8" max="8" width="9.7265625" bestFit="1" customWidth="1"/>
  </cols>
  <sheetData>
    <row r="1" spans="1:8" x14ac:dyDescent="0.35">
      <c r="A1" s="89" t="s">
        <v>130</v>
      </c>
      <c r="B1" s="89"/>
      <c r="C1" s="89"/>
      <c r="D1" s="89"/>
      <c r="E1" s="89"/>
      <c r="F1" s="89"/>
      <c r="G1" s="89"/>
      <c r="H1" s="89"/>
    </row>
    <row r="2" spans="1:8" x14ac:dyDescent="0.35">
      <c r="A2" s="90"/>
      <c r="B2" s="90"/>
      <c r="C2" s="90"/>
      <c r="D2" s="90"/>
      <c r="E2" s="90"/>
      <c r="F2" s="90"/>
      <c r="G2" s="90"/>
      <c r="H2" s="90"/>
    </row>
    <row r="3" spans="1:8" ht="66.75" customHeight="1" x14ac:dyDescent="0.35">
      <c r="A3" s="29" t="s">
        <v>116</v>
      </c>
      <c r="B3" s="29" t="s">
        <v>117</v>
      </c>
      <c r="C3" s="29" t="s">
        <v>118</v>
      </c>
      <c r="D3" s="30" t="s">
        <v>6</v>
      </c>
      <c r="E3" s="29" t="s">
        <v>119</v>
      </c>
      <c r="F3" s="29" t="s">
        <v>120</v>
      </c>
      <c r="G3" s="29" t="s">
        <v>121</v>
      </c>
      <c r="H3" s="29" t="s">
        <v>122</v>
      </c>
    </row>
    <row r="4" spans="1:8" ht="21" x14ac:dyDescent="0.5">
      <c r="A4" s="25" t="s">
        <v>123</v>
      </c>
      <c r="B4" s="26">
        <v>12</v>
      </c>
      <c r="C4" s="26">
        <v>450</v>
      </c>
      <c r="D4" s="27">
        <f>C4*B4</f>
        <v>5400</v>
      </c>
      <c r="E4" s="28">
        <f>IF(A4="pen drive",C4+60,C4)</f>
        <v>450</v>
      </c>
      <c r="F4" s="28">
        <f>IF(A4="computer",C4-70,E4)</f>
        <v>450</v>
      </c>
      <c r="G4" s="28">
        <f>F4</f>
        <v>450</v>
      </c>
      <c r="H4" s="28">
        <f>G4*B4</f>
        <v>5400</v>
      </c>
    </row>
    <row r="5" spans="1:8" ht="21" x14ac:dyDescent="0.5">
      <c r="A5" s="25" t="s">
        <v>124</v>
      </c>
      <c r="B5" s="26">
        <v>56</v>
      </c>
      <c r="C5" s="26">
        <v>560</v>
      </c>
      <c r="D5" s="27">
        <f t="shared" ref="D5:D27" si="0">C5*B5</f>
        <v>31360</v>
      </c>
      <c r="E5" s="28">
        <f t="shared" ref="E5:E27" si="1">IF(A5="pen drive",C5+60,C5)</f>
        <v>560</v>
      </c>
      <c r="F5" s="28">
        <f t="shared" ref="F5:F27" si="2">IF(A5="computer",C5-70,E5)</f>
        <v>560</v>
      </c>
      <c r="G5" s="28">
        <f t="shared" ref="G5:G27" si="3">F5</f>
        <v>560</v>
      </c>
      <c r="H5" s="28">
        <f t="shared" ref="H5:H27" si="4">G5*B5</f>
        <v>31360</v>
      </c>
    </row>
    <row r="6" spans="1:8" ht="21" x14ac:dyDescent="0.5">
      <c r="A6" s="25" t="s">
        <v>105</v>
      </c>
      <c r="B6" s="26">
        <v>25</v>
      </c>
      <c r="C6" s="26">
        <v>230</v>
      </c>
      <c r="D6" s="27">
        <f t="shared" si="0"/>
        <v>5750</v>
      </c>
      <c r="E6" s="28">
        <f t="shared" si="1"/>
        <v>230</v>
      </c>
      <c r="F6" s="28">
        <f t="shared" si="2"/>
        <v>230</v>
      </c>
      <c r="G6" s="28">
        <f t="shared" si="3"/>
        <v>230</v>
      </c>
      <c r="H6" s="28">
        <f t="shared" si="4"/>
        <v>5750</v>
      </c>
    </row>
    <row r="7" spans="1:8" ht="21" x14ac:dyDescent="0.5">
      <c r="A7" s="25" t="s">
        <v>125</v>
      </c>
      <c r="B7" s="26">
        <v>98</v>
      </c>
      <c r="C7" s="26">
        <v>120</v>
      </c>
      <c r="D7" s="27">
        <f t="shared" si="0"/>
        <v>11760</v>
      </c>
      <c r="E7" s="28">
        <f t="shared" si="1"/>
        <v>120</v>
      </c>
      <c r="F7" s="28">
        <f t="shared" si="2"/>
        <v>120</v>
      </c>
      <c r="G7" s="28">
        <f t="shared" si="3"/>
        <v>120</v>
      </c>
      <c r="H7" s="28">
        <f t="shared" si="4"/>
        <v>11760</v>
      </c>
    </row>
    <row r="8" spans="1:8" ht="21" x14ac:dyDescent="0.5">
      <c r="A8" s="25" t="s">
        <v>126</v>
      </c>
      <c r="B8" s="26">
        <v>32</v>
      </c>
      <c r="C8" s="26">
        <v>450</v>
      </c>
      <c r="D8" s="27">
        <f t="shared" si="0"/>
        <v>14400</v>
      </c>
      <c r="E8" s="28">
        <f t="shared" si="1"/>
        <v>450</v>
      </c>
      <c r="F8" s="28">
        <f t="shared" si="2"/>
        <v>450</v>
      </c>
      <c r="G8" s="28">
        <f t="shared" si="3"/>
        <v>450</v>
      </c>
      <c r="H8" s="28">
        <f t="shared" si="4"/>
        <v>14400</v>
      </c>
    </row>
    <row r="9" spans="1:8" ht="21" x14ac:dyDescent="0.5">
      <c r="A9" s="25" t="s">
        <v>127</v>
      </c>
      <c r="B9" s="26">
        <v>65</v>
      </c>
      <c r="C9" s="26">
        <v>890</v>
      </c>
      <c r="D9" s="27">
        <f t="shared" si="0"/>
        <v>57850</v>
      </c>
      <c r="E9" s="28">
        <f t="shared" si="1"/>
        <v>890</v>
      </c>
      <c r="F9" s="28">
        <f t="shared" si="2"/>
        <v>890</v>
      </c>
      <c r="G9" s="28">
        <f t="shared" si="3"/>
        <v>890</v>
      </c>
      <c r="H9" s="28">
        <f t="shared" si="4"/>
        <v>57850</v>
      </c>
    </row>
    <row r="10" spans="1:8" ht="21" x14ac:dyDescent="0.5">
      <c r="A10" s="25" t="s">
        <v>103</v>
      </c>
      <c r="B10" s="26">
        <v>26</v>
      </c>
      <c r="C10" s="26">
        <v>120</v>
      </c>
      <c r="D10" s="27">
        <f t="shared" si="0"/>
        <v>3120</v>
      </c>
      <c r="E10" s="28">
        <f t="shared" si="1"/>
        <v>120</v>
      </c>
      <c r="F10" s="28">
        <f t="shared" si="2"/>
        <v>120</v>
      </c>
      <c r="G10" s="28">
        <f t="shared" si="3"/>
        <v>120</v>
      </c>
      <c r="H10" s="28">
        <f t="shared" si="4"/>
        <v>3120</v>
      </c>
    </row>
    <row r="11" spans="1:8" ht="21" x14ac:dyDescent="0.5">
      <c r="A11" s="25" t="s">
        <v>104</v>
      </c>
      <c r="B11" s="26">
        <v>45</v>
      </c>
      <c r="C11" s="26">
        <v>230</v>
      </c>
      <c r="D11" s="27">
        <f t="shared" si="0"/>
        <v>10350</v>
      </c>
      <c r="E11" s="28">
        <f t="shared" si="1"/>
        <v>230</v>
      </c>
      <c r="F11" s="28">
        <f t="shared" si="2"/>
        <v>230</v>
      </c>
      <c r="G11" s="28">
        <f t="shared" si="3"/>
        <v>230</v>
      </c>
      <c r="H11" s="28">
        <f t="shared" si="4"/>
        <v>10350</v>
      </c>
    </row>
    <row r="12" spans="1:8" ht="21" x14ac:dyDescent="0.5">
      <c r="A12" s="25" t="s">
        <v>128</v>
      </c>
      <c r="B12" s="26">
        <v>36</v>
      </c>
      <c r="C12" s="26">
        <v>560</v>
      </c>
      <c r="D12" s="27">
        <f t="shared" si="0"/>
        <v>20160</v>
      </c>
      <c r="E12" s="28">
        <f t="shared" si="1"/>
        <v>620</v>
      </c>
      <c r="F12" s="28">
        <f t="shared" si="2"/>
        <v>620</v>
      </c>
      <c r="G12" s="28">
        <f t="shared" si="3"/>
        <v>620</v>
      </c>
      <c r="H12" s="28">
        <f t="shared" si="4"/>
        <v>22320</v>
      </c>
    </row>
    <row r="13" spans="1:8" ht="21" x14ac:dyDescent="0.5">
      <c r="A13" s="25" t="s">
        <v>95</v>
      </c>
      <c r="B13" s="26">
        <v>36</v>
      </c>
      <c r="C13" s="26">
        <v>1270</v>
      </c>
      <c r="D13" s="27">
        <f t="shared" si="0"/>
        <v>45720</v>
      </c>
      <c r="E13" s="28">
        <f t="shared" si="1"/>
        <v>1270</v>
      </c>
      <c r="F13" s="28">
        <f t="shared" si="2"/>
        <v>1200</v>
      </c>
      <c r="G13" s="28">
        <f t="shared" si="3"/>
        <v>1200</v>
      </c>
      <c r="H13" s="28">
        <f t="shared" si="4"/>
        <v>43200</v>
      </c>
    </row>
    <row r="14" spans="1:8" ht="21" x14ac:dyDescent="0.5">
      <c r="A14" s="25" t="s">
        <v>98</v>
      </c>
      <c r="B14" s="26">
        <v>20</v>
      </c>
      <c r="C14" s="26">
        <v>890</v>
      </c>
      <c r="D14" s="27">
        <f t="shared" si="0"/>
        <v>17800</v>
      </c>
      <c r="E14" s="28">
        <f t="shared" si="1"/>
        <v>890</v>
      </c>
      <c r="F14" s="28">
        <f t="shared" si="2"/>
        <v>890</v>
      </c>
      <c r="G14" s="28">
        <f t="shared" si="3"/>
        <v>890</v>
      </c>
      <c r="H14" s="28">
        <f t="shared" si="4"/>
        <v>17800</v>
      </c>
    </row>
    <row r="15" spans="1:8" ht="21" x14ac:dyDescent="0.5">
      <c r="A15" s="25" t="s">
        <v>129</v>
      </c>
      <c r="B15" s="26">
        <v>45</v>
      </c>
      <c r="C15" s="26">
        <v>2300</v>
      </c>
      <c r="D15" s="27">
        <f t="shared" si="0"/>
        <v>103500</v>
      </c>
      <c r="E15" s="28">
        <f t="shared" si="1"/>
        <v>2300</v>
      </c>
      <c r="F15" s="28">
        <f t="shared" si="2"/>
        <v>2300</v>
      </c>
      <c r="G15" s="28">
        <f t="shared" si="3"/>
        <v>2300</v>
      </c>
      <c r="H15" s="28">
        <f>G15*B15</f>
        <v>103500</v>
      </c>
    </row>
    <row r="16" spans="1:8" ht="21" x14ac:dyDescent="0.5">
      <c r="A16" s="25" t="s">
        <v>96</v>
      </c>
      <c r="B16" s="26">
        <v>47</v>
      </c>
      <c r="C16" s="26">
        <v>572</v>
      </c>
      <c r="D16" s="27">
        <f t="shared" si="0"/>
        <v>26884</v>
      </c>
      <c r="E16" s="28">
        <f t="shared" si="1"/>
        <v>572</v>
      </c>
      <c r="F16" s="28">
        <f t="shared" si="2"/>
        <v>572</v>
      </c>
      <c r="G16" s="28">
        <f t="shared" si="3"/>
        <v>572</v>
      </c>
      <c r="H16" s="28">
        <f t="shared" si="4"/>
        <v>26884</v>
      </c>
    </row>
    <row r="17" spans="1:8" ht="21" x14ac:dyDescent="0.5">
      <c r="A17" s="25" t="s">
        <v>97</v>
      </c>
      <c r="B17" s="26">
        <v>58</v>
      </c>
      <c r="C17" s="26">
        <v>672</v>
      </c>
      <c r="D17" s="27">
        <f t="shared" si="0"/>
        <v>38976</v>
      </c>
      <c r="E17" s="28">
        <f t="shared" si="1"/>
        <v>672</v>
      </c>
      <c r="F17" s="28">
        <f t="shared" si="2"/>
        <v>672</v>
      </c>
      <c r="G17" s="28">
        <f t="shared" si="3"/>
        <v>672</v>
      </c>
      <c r="H17" s="28">
        <f t="shared" si="4"/>
        <v>38976</v>
      </c>
    </row>
    <row r="18" spans="1:8" ht="21" x14ac:dyDescent="0.5">
      <c r="A18" s="25" t="s">
        <v>99</v>
      </c>
      <c r="B18" s="26">
        <v>43</v>
      </c>
      <c r="C18" s="26">
        <v>820</v>
      </c>
      <c r="D18" s="27">
        <f t="shared" si="0"/>
        <v>35260</v>
      </c>
      <c r="E18" s="28">
        <f t="shared" si="1"/>
        <v>820</v>
      </c>
      <c r="F18" s="28">
        <f t="shared" si="2"/>
        <v>820</v>
      </c>
      <c r="G18" s="28">
        <f t="shared" si="3"/>
        <v>820</v>
      </c>
      <c r="H18" s="28">
        <f t="shared" si="4"/>
        <v>35260</v>
      </c>
    </row>
    <row r="19" spans="1:8" ht="21" x14ac:dyDescent="0.5">
      <c r="A19" s="25" t="s">
        <v>100</v>
      </c>
      <c r="B19" s="26">
        <v>13</v>
      </c>
      <c r="C19" s="26">
        <v>826</v>
      </c>
      <c r="D19" s="27">
        <f t="shared" si="0"/>
        <v>10738</v>
      </c>
      <c r="E19" s="28">
        <f t="shared" si="1"/>
        <v>826</v>
      </c>
      <c r="F19" s="28">
        <f t="shared" si="2"/>
        <v>826</v>
      </c>
      <c r="G19" s="28">
        <f t="shared" si="3"/>
        <v>826</v>
      </c>
      <c r="H19" s="28">
        <f t="shared" si="4"/>
        <v>10738</v>
      </c>
    </row>
    <row r="20" spans="1:8" ht="21" x14ac:dyDescent="0.5">
      <c r="A20" s="25" t="s">
        <v>101</v>
      </c>
      <c r="B20" s="26">
        <v>66</v>
      </c>
      <c r="C20" s="26">
        <v>809</v>
      </c>
      <c r="D20" s="27">
        <f t="shared" si="0"/>
        <v>53394</v>
      </c>
      <c r="E20" s="28">
        <f t="shared" si="1"/>
        <v>809</v>
      </c>
      <c r="F20" s="28">
        <f t="shared" si="2"/>
        <v>809</v>
      </c>
      <c r="G20" s="28">
        <f t="shared" si="3"/>
        <v>809</v>
      </c>
      <c r="H20" s="28">
        <f t="shared" si="4"/>
        <v>53394</v>
      </c>
    </row>
    <row r="21" spans="1:8" ht="21" x14ac:dyDescent="0.5">
      <c r="A21" s="25" t="s">
        <v>102</v>
      </c>
      <c r="B21" s="26">
        <v>51</v>
      </c>
      <c r="C21" s="26">
        <v>669</v>
      </c>
      <c r="D21" s="27">
        <f t="shared" si="0"/>
        <v>34119</v>
      </c>
      <c r="E21" s="28">
        <f t="shared" si="1"/>
        <v>669</v>
      </c>
      <c r="F21" s="28">
        <f t="shared" si="2"/>
        <v>669</v>
      </c>
      <c r="G21" s="28">
        <f t="shared" si="3"/>
        <v>669</v>
      </c>
      <c r="H21" s="28">
        <f t="shared" si="4"/>
        <v>34119</v>
      </c>
    </row>
    <row r="22" spans="1:8" ht="21" x14ac:dyDescent="0.5">
      <c r="A22" s="25" t="s">
        <v>106</v>
      </c>
      <c r="B22" s="26">
        <v>81</v>
      </c>
      <c r="C22" s="26">
        <v>924</v>
      </c>
      <c r="D22" s="27">
        <f t="shared" si="0"/>
        <v>74844</v>
      </c>
      <c r="E22" s="28">
        <f t="shared" si="1"/>
        <v>924</v>
      </c>
      <c r="F22" s="28">
        <f t="shared" si="2"/>
        <v>924</v>
      </c>
      <c r="G22" s="28">
        <f t="shared" si="3"/>
        <v>924</v>
      </c>
      <c r="H22" s="28">
        <f t="shared" si="4"/>
        <v>74844</v>
      </c>
    </row>
    <row r="23" spans="1:8" ht="21" x14ac:dyDescent="0.5">
      <c r="A23" s="25" t="s">
        <v>107</v>
      </c>
      <c r="B23" s="26">
        <v>72</v>
      </c>
      <c r="C23" s="26">
        <v>550</v>
      </c>
      <c r="D23" s="27">
        <f t="shared" si="0"/>
        <v>39600</v>
      </c>
      <c r="E23" s="28">
        <f t="shared" si="1"/>
        <v>550</v>
      </c>
      <c r="F23" s="28">
        <f t="shared" si="2"/>
        <v>550</v>
      </c>
      <c r="G23" s="28">
        <f t="shared" si="3"/>
        <v>550</v>
      </c>
      <c r="H23" s="28">
        <f t="shared" si="4"/>
        <v>39600</v>
      </c>
    </row>
    <row r="24" spans="1:8" ht="21" x14ac:dyDescent="0.5">
      <c r="A24" s="25" t="s">
        <v>108</v>
      </c>
      <c r="B24" s="26">
        <v>52</v>
      </c>
      <c r="C24" s="26">
        <v>606</v>
      </c>
      <c r="D24" s="27">
        <f t="shared" si="0"/>
        <v>31512</v>
      </c>
      <c r="E24" s="28">
        <f t="shared" si="1"/>
        <v>606</v>
      </c>
      <c r="F24" s="28">
        <f t="shared" si="2"/>
        <v>606</v>
      </c>
      <c r="G24" s="28">
        <f t="shared" si="3"/>
        <v>606</v>
      </c>
      <c r="H24" s="28">
        <f t="shared" si="4"/>
        <v>31512</v>
      </c>
    </row>
    <row r="25" spans="1:8" ht="21" x14ac:dyDescent="0.5">
      <c r="A25" s="25" t="s">
        <v>109</v>
      </c>
      <c r="B25" s="26">
        <v>99</v>
      </c>
      <c r="C25" s="26">
        <v>535</v>
      </c>
      <c r="D25" s="27">
        <f t="shared" si="0"/>
        <v>52965</v>
      </c>
      <c r="E25" s="28">
        <f t="shared" si="1"/>
        <v>535</v>
      </c>
      <c r="F25" s="28">
        <f t="shared" si="2"/>
        <v>535</v>
      </c>
      <c r="G25" s="28">
        <f t="shared" si="3"/>
        <v>535</v>
      </c>
      <c r="H25" s="28">
        <f t="shared" si="4"/>
        <v>52965</v>
      </c>
    </row>
    <row r="26" spans="1:8" ht="21" x14ac:dyDescent="0.5">
      <c r="A26" s="25" t="s">
        <v>110</v>
      </c>
      <c r="B26" s="26">
        <v>90</v>
      </c>
      <c r="C26" s="26">
        <v>736</v>
      </c>
      <c r="D26" s="27">
        <f t="shared" si="0"/>
        <v>66240</v>
      </c>
      <c r="E26" s="28">
        <f t="shared" si="1"/>
        <v>736</v>
      </c>
      <c r="F26" s="28">
        <f t="shared" si="2"/>
        <v>736</v>
      </c>
      <c r="G26" s="28">
        <f t="shared" si="3"/>
        <v>736</v>
      </c>
      <c r="H26" s="28">
        <f t="shared" si="4"/>
        <v>66240</v>
      </c>
    </row>
    <row r="27" spans="1:8" ht="21" x14ac:dyDescent="0.5">
      <c r="A27" s="25" t="s">
        <v>111</v>
      </c>
      <c r="B27" s="26">
        <v>83</v>
      </c>
      <c r="C27" s="26">
        <v>902</v>
      </c>
      <c r="D27" s="27">
        <f t="shared" si="0"/>
        <v>74866</v>
      </c>
      <c r="E27" s="28">
        <f t="shared" si="1"/>
        <v>902</v>
      </c>
      <c r="F27" s="28">
        <f t="shared" si="2"/>
        <v>902</v>
      </c>
      <c r="G27" s="28">
        <f t="shared" si="3"/>
        <v>902</v>
      </c>
      <c r="H27" s="28">
        <f t="shared" si="4"/>
        <v>74866</v>
      </c>
    </row>
  </sheetData>
  <mergeCells count="1">
    <mergeCell ref="A1:H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opLeftCell="A11" zoomScale="56" workbookViewId="0">
      <selection activeCell="N6" sqref="N6"/>
    </sheetView>
  </sheetViews>
  <sheetFormatPr defaultRowHeight="14.5" x14ac:dyDescent="0.35"/>
  <sheetData>
    <row r="1" spans="1:6" x14ac:dyDescent="0.35">
      <c r="A1" s="88" t="s">
        <v>148</v>
      </c>
      <c r="B1" s="88"/>
      <c r="C1" s="88"/>
      <c r="D1" s="88"/>
      <c r="E1" s="88"/>
      <c r="F1" s="88"/>
    </row>
    <row r="2" spans="1:6" x14ac:dyDescent="0.35">
      <c r="A2" s="91"/>
      <c r="B2" s="91"/>
      <c r="C2" s="91"/>
      <c r="D2" s="91"/>
      <c r="E2" s="91"/>
      <c r="F2" s="91"/>
    </row>
    <row r="3" spans="1:6" ht="20.149999999999999" customHeight="1" x14ac:dyDescent="0.35">
      <c r="A3" s="31" t="s">
        <v>131</v>
      </c>
      <c r="B3" s="31" t="s">
        <v>132</v>
      </c>
      <c r="C3" s="31" t="s">
        <v>133</v>
      </c>
      <c r="D3" s="31" t="s">
        <v>134</v>
      </c>
      <c r="E3" s="31" t="s">
        <v>134</v>
      </c>
      <c r="F3" s="32" t="s">
        <v>135</v>
      </c>
    </row>
    <row r="4" spans="1:6" ht="20.149999999999999" customHeight="1" x14ac:dyDescent="0.35">
      <c r="A4" s="33" t="s">
        <v>136</v>
      </c>
      <c r="B4" s="34">
        <v>456</v>
      </c>
      <c r="C4" s="34">
        <v>485</v>
      </c>
      <c r="D4" s="34">
        <v>656</v>
      </c>
      <c r="E4" s="34">
        <v>565</v>
      </c>
      <c r="F4" s="35">
        <f>SUM(B4:E4)</f>
        <v>2162</v>
      </c>
    </row>
    <row r="5" spans="1:6" ht="20.149999999999999" customHeight="1" x14ac:dyDescent="0.35">
      <c r="A5" s="33" t="s">
        <v>137</v>
      </c>
      <c r="B5" s="34">
        <v>231</v>
      </c>
      <c r="C5" s="34">
        <v>565</v>
      </c>
      <c r="D5" s="34">
        <v>632</v>
      </c>
      <c r="E5" s="34">
        <v>656</v>
      </c>
      <c r="F5" s="35">
        <f t="shared" ref="F5:F25" si="0">SUM(B5:E5)</f>
        <v>2084</v>
      </c>
    </row>
    <row r="6" spans="1:6" ht="20.149999999999999" customHeight="1" x14ac:dyDescent="0.35">
      <c r="A6" s="33" t="s">
        <v>138</v>
      </c>
      <c r="B6" s="34">
        <v>654</v>
      </c>
      <c r="C6" s="34">
        <v>452</v>
      </c>
      <c r="D6" s="34">
        <v>584</v>
      </c>
      <c r="E6" s="34">
        <v>323</v>
      </c>
      <c r="F6" s="35">
        <f t="shared" si="0"/>
        <v>2013</v>
      </c>
    </row>
    <row r="7" spans="1:6" ht="20.149999999999999" customHeight="1" x14ac:dyDescent="0.35">
      <c r="A7" s="33" t="s">
        <v>139</v>
      </c>
      <c r="B7" s="34">
        <v>568</v>
      </c>
      <c r="C7" s="34">
        <v>895</v>
      </c>
      <c r="D7" s="34">
        <v>698</v>
      </c>
      <c r="E7" s="34">
        <v>563</v>
      </c>
      <c r="F7" s="35">
        <f t="shared" si="0"/>
        <v>2724</v>
      </c>
    </row>
    <row r="8" spans="1:6" ht="20.149999999999999" customHeight="1" x14ac:dyDescent="0.35">
      <c r="A8" s="33" t="s">
        <v>140</v>
      </c>
      <c r="B8" s="34">
        <v>232</v>
      </c>
      <c r="C8" s="34">
        <v>656</v>
      </c>
      <c r="D8" s="34">
        <v>254</v>
      </c>
      <c r="E8" s="34">
        <v>454</v>
      </c>
      <c r="F8" s="35">
        <f t="shared" si="0"/>
        <v>1596</v>
      </c>
    </row>
    <row r="9" spans="1:6" ht="20.149999999999999" customHeight="1" x14ac:dyDescent="0.35">
      <c r="A9" s="33" t="s">
        <v>141</v>
      </c>
      <c r="B9" s="34">
        <v>124</v>
      </c>
      <c r="C9" s="34">
        <v>452</v>
      </c>
      <c r="D9" s="34">
        <v>256</v>
      </c>
      <c r="E9" s="34">
        <v>325</v>
      </c>
      <c r="F9" s="35">
        <f t="shared" si="0"/>
        <v>1157</v>
      </c>
    </row>
    <row r="10" spans="1:6" ht="20.149999999999999" customHeight="1" x14ac:dyDescent="0.35">
      <c r="A10" s="33" t="s">
        <v>142</v>
      </c>
      <c r="B10" s="34">
        <v>665</v>
      </c>
      <c r="C10" s="34">
        <v>625</v>
      </c>
      <c r="D10" s="34">
        <v>695</v>
      </c>
      <c r="E10" s="34">
        <v>454</v>
      </c>
      <c r="F10" s="35">
        <f t="shared" si="0"/>
        <v>2439</v>
      </c>
    </row>
    <row r="11" spans="1:6" ht="20.149999999999999" customHeight="1" x14ac:dyDescent="0.35">
      <c r="A11" s="33" t="s">
        <v>143</v>
      </c>
      <c r="B11" s="34">
        <v>987</v>
      </c>
      <c r="C11" s="34">
        <v>897</v>
      </c>
      <c r="D11" s="34">
        <v>647</v>
      </c>
      <c r="E11" s="34">
        <v>256</v>
      </c>
      <c r="F11" s="35">
        <f t="shared" si="0"/>
        <v>2787</v>
      </c>
    </row>
    <row r="12" spans="1:6" ht="20.149999999999999" customHeight="1" x14ac:dyDescent="0.35">
      <c r="A12" s="33" t="s">
        <v>144</v>
      </c>
      <c r="B12" s="34">
        <v>654</v>
      </c>
      <c r="C12" s="34">
        <v>457</v>
      </c>
      <c r="D12" s="34">
        <v>214</v>
      </c>
      <c r="E12" s="34">
        <v>452</v>
      </c>
      <c r="F12" s="35">
        <f t="shared" si="0"/>
        <v>1777</v>
      </c>
    </row>
    <row r="13" spans="1:6" ht="20.149999999999999" customHeight="1" x14ac:dyDescent="0.35">
      <c r="A13" s="33" t="s">
        <v>145</v>
      </c>
      <c r="B13" s="34">
        <v>698</v>
      </c>
      <c r="C13" s="34">
        <v>565</v>
      </c>
      <c r="D13" s="34">
        <v>321</v>
      </c>
      <c r="E13" s="34">
        <v>563</v>
      </c>
      <c r="F13" s="35">
        <f t="shared" si="0"/>
        <v>2147</v>
      </c>
    </row>
    <row r="14" spans="1:6" ht="20.149999999999999" customHeight="1" x14ac:dyDescent="0.35">
      <c r="A14" s="33" t="s">
        <v>146</v>
      </c>
      <c r="B14" s="34">
        <v>235</v>
      </c>
      <c r="C14" s="34">
        <v>656</v>
      </c>
      <c r="D14" s="34">
        <v>365</v>
      </c>
      <c r="E14" s="34">
        <v>452</v>
      </c>
      <c r="F14" s="35">
        <f t="shared" si="0"/>
        <v>1708</v>
      </c>
    </row>
    <row r="15" spans="1:6" ht="20.149999999999999" customHeight="1" x14ac:dyDescent="0.35">
      <c r="A15" s="33" t="s">
        <v>147</v>
      </c>
      <c r="B15" s="34">
        <v>565</v>
      </c>
      <c r="C15" s="34">
        <v>232</v>
      </c>
      <c r="D15" s="34">
        <v>256</v>
      </c>
      <c r="E15" s="34">
        <v>232</v>
      </c>
      <c r="F15" s="35">
        <f t="shared" si="0"/>
        <v>1285</v>
      </c>
    </row>
    <row r="16" spans="1:6" ht="20.149999999999999" customHeight="1" x14ac:dyDescent="0.35">
      <c r="A16" s="33" t="s">
        <v>136</v>
      </c>
      <c r="B16" s="34">
        <v>456</v>
      </c>
      <c r="C16" s="34">
        <v>485</v>
      </c>
      <c r="D16" s="34">
        <v>656</v>
      </c>
      <c r="E16" s="34">
        <v>565</v>
      </c>
      <c r="F16" s="35">
        <f t="shared" si="0"/>
        <v>2162</v>
      </c>
    </row>
    <row r="17" spans="1:6" ht="20.149999999999999" customHeight="1" x14ac:dyDescent="0.35">
      <c r="A17" s="33" t="s">
        <v>137</v>
      </c>
      <c r="B17" s="34">
        <v>231</v>
      </c>
      <c r="C17" s="34">
        <v>565</v>
      </c>
      <c r="D17" s="34">
        <v>632</v>
      </c>
      <c r="E17" s="34">
        <v>656</v>
      </c>
      <c r="F17" s="35">
        <f t="shared" si="0"/>
        <v>2084</v>
      </c>
    </row>
    <row r="18" spans="1:6" ht="20.149999999999999" customHeight="1" x14ac:dyDescent="0.35">
      <c r="A18" s="33" t="s">
        <v>138</v>
      </c>
      <c r="B18" s="34">
        <v>654</v>
      </c>
      <c r="C18" s="34">
        <v>452</v>
      </c>
      <c r="D18" s="34">
        <v>584</v>
      </c>
      <c r="E18" s="34">
        <v>323</v>
      </c>
      <c r="F18" s="35">
        <f t="shared" si="0"/>
        <v>2013</v>
      </c>
    </row>
    <row r="19" spans="1:6" ht="20.149999999999999" customHeight="1" x14ac:dyDescent="0.35">
      <c r="A19" s="33" t="s">
        <v>139</v>
      </c>
      <c r="B19" s="34">
        <v>568</v>
      </c>
      <c r="C19" s="34">
        <v>895</v>
      </c>
      <c r="D19" s="34">
        <v>698</v>
      </c>
      <c r="E19" s="34">
        <v>563</v>
      </c>
      <c r="F19" s="35">
        <f t="shared" si="0"/>
        <v>2724</v>
      </c>
    </row>
    <row r="20" spans="1:6" ht="20.149999999999999" customHeight="1" x14ac:dyDescent="0.35">
      <c r="A20" s="33" t="s">
        <v>140</v>
      </c>
      <c r="B20" s="34">
        <v>232</v>
      </c>
      <c r="C20" s="34">
        <v>656</v>
      </c>
      <c r="D20" s="34">
        <v>254</v>
      </c>
      <c r="E20" s="34">
        <v>454</v>
      </c>
      <c r="F20" s="35">
        <f t="shared" si="0"/>
        <v>1596</v>
      </c>
    </row>
    <row r="21" spans="1:6" ht="20.149999999999999" customHeight="1" x14ac:dyDescent="0.35">
      <c r="A21" s="33" t="s">
        <v>141</v>
      </c>
      <c r="B21" s="34">
        <v>124</v>
      </c>
      <c r="C21" s="34">
        <v>452</v>
      </c>
      <c r="D21" s="34">
        <v>256</v>
      </c>
      <c r="E21" s="34">
        <v>325</v>
      </c>
      <c r="F21" s="35">
        <f t="shared" si="0"/>
        <v>1157</v>
      </c>
    </row>
    <row r="22" spans="1:6" ht="20.149999999999999" customHeight="1" x14ac:dyDescent="0.35">
      <c r="A22" s="33" t="s">
        <v>142</v>
      </c>
      <c r="B22" s="34">
        <v>665</v>
      </c>
      <c r="C22" s="34">
        <v>625</v>
      </c>
      <c r="D22" s="34">
        <v>695</v>
      </c>
      <c r="E22" s="34">
        <v>454</v>
      </c>
      <c r="F22" s="35">
        <f t="shared" si="0"/>
        <v>2439</v>
      </c>
    </row>
    <row r="23" spans="1:6" ht="20.149999999999999" customHeight="1" x14ac:dyDescent="0.35">
      <c r="A23" s="33" t="s">
        <v>143</v>
      </c>
      <c r="B23" s="34">
        <v>987</v>
      </c>
      <c r="C23" s="34">
        <v>897</v>
      </c>
      <c r="D23" s="34">
        <v>647</v>
      </c>
      <c r="E23" s="34">
        <v>256</v>
      </c>
      <c r="F23" s="35">
        <f t="shared" si="0"/>
        <v>2787</v>
      </c>
    </row>
    <row r="24" spans="1:6" ht="20.149999999999999" customHeight="1" x14ac:dyDescent="0.35">
      <c r="A24" s="33" t="s">
        <v>144</v>
      </c>
      <c r="B24" s="34">
        <v>654</v>
      </c>
      <c r="C24" s="34">
        <v>457</v>
      </c>
      <c r="D24" s="34">
        <v>214</v>
      </c>
      <c r="E24" s="34">
        <v>452</v>
      </c>
      <c r="F24" s="35">
        <f t="shared" si="0"/>
        <v>1777</v>
      </c>
    </row>
    <row r="25" spans="1:6" ht="20.149999999999999" customHeight="1" x14ac:dyDescent="0.35">
      <c r="A25" s="33" t="s">
        <v>145</v>
      </c>
      <c r="B25" s="34">
        <v>698</v>
      </c>
      <c r="C25" s="34">
        <v>565</v>
      </c>
      <c r="D25" s="34">
        <v>321</v>
      </c>
      <c r="E25" s="34">
        <v>563</v>
      </c>
      <c r="F25" s="35">
        <f t="shared" si="0"/>
        <v>2147</v>
      </c>
    </row>
  </sheetData>
  <mergeCells count="1">
    <mergeCell ref="A1:F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1" workbookViewId="0">
      <selection activeCell="P5" sqref="P5"/>
    </sheetView>
  </sheetViews>
  <sheetFormatPr defaultRowHeight="14.5" x14ac:dyDescent="0.35"/>
  <sheetData>
    <row r="1" spans="1:14" x14ac:dyDescent="0.35">
      <c r="A1" s="89" t="s">
        <v>149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x14ac:dyDescent="0.35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3" spans="1:14" ht="15.5" x14ac:dyDescent="0.35">
      <c r="A3" s="37" t="s">
        <v>66</v>
      </c>
      <c r="B3" s="37" t="s">
        <v>136</v>
      </c>
      <c r="C3" s="37" t="s">
        <v>137</v>
      </c>
      <c r="D3" s="37" t="s">
        <v>138</v>
      </c>
      <c r="E3" s="37" t="s">
        <v>139</v>
      </c>
      <c r="F3" s="37" t="s">
        <v>140</v>
      </c>
      <c r="G3" s="37" t="s">
        <v>141</v>
      </c>
      <c r="H3" s="37" t="s">
        <v>142</v>
      </c>
      <c r="I3" s="37" t="s">
        <v>143</v>
      </c>
      <c r="J3" s="37" t="s">
        <v>144</v>
      </c>
      <c r="K3" s="37" t="s">
        <v>145</v>
      </c>
      <c r="L3" s="37" t="s">
        <v>146</v>
      </c>
      <c r="M3" s="37" t="s">
        <v>147</v>
      </c>
      <c r="N3" s="37" t="s">
        <v>150</v>
      </c>
    </row>
    <row r="4" spans="1:14" x14ac:dyDescent="0.35">
      <c r="A4" s="38" t="s">
        <v>151</v>
      </c>
      <c r="B4" s="33">
        <v>46545</v>
      </c>
      <c r="C4" s="33">
        <v>12547</v>
      </c>
      <c r="D4" s="33">
        <v>98547</v>
      </c>
      <c r="E4" s="33">
        <v>56844</v>
      </c>
      <c r="F4" s="33">
        <v>56145</v>
      </c>
      <c r="G4" s="33">
        <v>36568</v>
      </c>
      <c r="H4" s="33">
        <v>23565</v>
      </c>
      <c r="I4" s="33">
        <v>56145</v>
      </c>
      <c r="J4" s="33">
        <v>36568</v>
      </c>
      <c r="K4" s="33">
        <v>23565</v>
      </c>
      <c r="L4" s="33">
        <v>58474</v>
      </c>
      <c r="M4" s="33">
        <v>23553</v>
      </c>
      <c r="N4" s="39">
        <f>SUM(B4:M4)</f>
        <v>529066</v>
      </c>
    </row>
    <row r="5" spans="1:14" x14ac:dyDescent="0.35">
      <c r="A5" s="38" t="s">
        <v>152</v>
      </c>
      <c r="B5" s="33">
        <v>23000</v>
      </c>
      <c r="C5" s="33">
        <v>65987</v>
      </c>
      <c r="D5" s="33">
        <v>54568</v>
      </c>
      <c r="E5" s="33">
        <v>36568</v>
      </c>
      <c r="F5" s="33">
        <v>26541</v>
      </c>
      <c r="G5" s="33">
        <v>32154</v>
      </c>
      <c r="H5" s="33">
        <v>36564</v>
      </c>
      <c r="I5" s="33">
        <v>26541</v>
      </c>
      <c r="J5" s="33">
        <v>32154</v>
      </c>
      <c r="K5" s="33">
        <v>36564</v>
      </c>
      <c r="L5" s="33">
        <v>36521</v>
      </c>
      <c r="M5" s="33">
        <v>23541</v>
      </c>
      <c r="N5" s="39">
        <f t="shared" ref="N5:N18" si="0">SUM(B5:M5)</f>
        <v>430703</v>
      </c>
    </row>
    <row r="6" spans="1:14" x14ac:dyDescent="0.35">
      <c r="A6" s="38" t="s">
        <v>153</v>
      </c>
      <c r="B6" s="33">
        <v>56000</v>
      </c>
      <c r="C6" s="33">
        <v>56145</v>
      </c>
      <c r="D6" s="33">
        <v>36568</v>
      </c>
      <c r="E6" s="33">
        <v>23565</v>
      </c>
      <c r="F6" s="33">
        <v>58474</v>
      </c>
      <c r="G6" s="33">
        <v>23553</v>
      </c>
      <c r="H6" s="33">
        <v>69584</v>
      </c>
      <c r="I6" s="33">
        <v>58474</v>
      </c>
      <c r="J6" s="33">
        <v>23553</v>
      </c>
      <c r="K6" s="33">
        <v>69584</v>
      </c>
      <c r="L6" s="33">
        <v>25641</v>
      </c>
      <c r="M6" s="33">
        <v>32654</v>
      </c>
      <c r="N6" s="39">
        <f t="shared" si="0"/>
        <v>533795</v>
      </c>
    </row>
    <row r="7" spans="1:14" x14ac:dyDescent="0.35">
      <c r="A7" s="38" t="s">
        <v>154</v>
      </c>
      <c r="B7" s="33">
        <v>23450</v>
      </c>
      <c r="C7" s="33">
        <v>26541</v>
      </c>
      <c r="D7" s="33">
        <v>32154</v>
      </c>
      <c r="E7" s="33">
        <v>36564</v>
      </c>
      <c r="F7" s="33">
        <v>36521</v>
      </c>
      <c r="G7" s="33">
        <v>23541</v>
      </c>
      <c r="H7" s="33">
        <v>36524</v>
      </c>
      <c r="I7" s="33">
        <v>36521</v>
      </c>
      <c r="J7" s="33">
        <v>23541</v>
      </c>
      <c r="K7" s="33">
        <v>36524</v>
      </c>
      <c r="L7" s="33">
        <v>12543</v>
      </c>
      <c r="M7" s="33">
        <v>36521</v>
      </c>
      <c r="N7" s="39">
        <f t="shared" si="0"/>
        <v>360945</v>
      </c>
    </row>
    <row r="8" spans="1:14" x14ac:dyDescent="0.35">
      <c r="A8" s="38" t="s">
        <v>155</v>
      </c>
      <c r="B8" s="33">
        <v>69580</v>
      </c>
      <c r="C8" s="33">
        <v>58474</v>
      </c>
      <c r="D8" s="33">
        <v>23553</v>
      </c>
      <c r="E8" s="33">
        <v>69584</v>
      </c>
      <c r="F8" s="33">
        <v>25641</v>
      </c>
      <c r="G8" s="33">
        <v>32654</v>
      </c>
      <c r="H8" s="33">
        <v>36547</v>
      </c>
      <c r="I8" s="33">
        <v>25641</v>
      </c>
      <c r="J8" s="33">
        <v>32654</v>
      </c>
      <c r="K8" s="33">
        <v>36547</v>
      </c>
      <c r="L8" s="33">
        <v>32214</v>
      </c>
      <c r="M8" s="33">
        <v>25641</v>
      </c>
      <c r="N8" s="39">
        <f t="shared" si="0"/>
        <v>468730</v>
      </c>
    </row>
    <row r="9" spans="1:14" x14ac:dyDescent="0.35">
      <c r="A9" s="38" t="s">
        <v>156</v>
      </c>
      <c r="B9" s="33">
        <v>12543</v>
      </c>
      <c r="C9" s="33">
        <v>36521</v>
      </c>
      <c r="D9" s="33">
        <v>23541</v>
      </c>
      <c r="E9" s="33">
        <v>36524</v>
      </c>
      <c r="F9" s="33">
        <v>12543</v>
      </c>
      <c r="G9" s="33">
        <v>36521</v>
      </c>
      <c r="H9" s="33">
        <v>23541</v>
      </c>
      <c r="I9" s="33">
        <v>56478</v>
      </c>
      <c r="J9" s="33">
        <v>21566</v>
      </c>
      <c r="K9" s="33">
        <v>98564</v>
      </c>
      <c r="L9" s="33">
        <v>23001</v>
      </c>
      <c r="M9" s="33">
        <v>56478</v>
      </c>
      <c r="N9" s="39">
        <f t="shared" si="0"/>
        <v>437821</v>
      </c>
    </row>
    <row r="10" spans="1:14" x14ac:dyDescent="0.35">
      <c r="A10" s="38" t="s">
        <v>157</v>
      </c>
      <c r="B10" s="33">
        <v>32214</v>
      </c>
      <c r="C10" s="33">
        <v>25641</v>
      </c>
      <c r="D10" s="33">
        <v>32654</v>
      </c>
      <c r="E10" s="33">
        <v>36547</v>
      </c>
      <c r="F10" s="33">
        <v>32214</v>
      </c>
      <c r="G10" s="33">
        <v>25641</v>
      </c>
      <c r="H10" s="33">
        <v>32654</v>
      </c>
      <c r="I10" s="33">
        <v>66958</v>
      </c>
      <c r="J10" s="33">
        <v>36594</v>
      </c>
      <c r="K10" s="33">
        <v>69557</v>
      </c>
      <c r="L10" s="33">
        <v>56412</v>
      </c>
      <c r="M10" s="33">
        <v>66958</v>
      </c>
      <c r="N10" s="39">
        <f t="shared" si="0"/>
        <v>514044</v>
      </c>
    </row>
    <row r="11" spans="1:14" x14ac:dyDescent="0.35">
      <c r="A11" s="38" t="s">
        <v>158</v>
      </c>
      <c r="B11" s="33">
        <v>23001</v>
      </c>
      <c r="C11" s="33">
        <v>56478</v>
      </c>
      <c r="D11" s="33">
        <v>21566</v>
      </c>
      <c r="E11" s="33">
        <v>98564</v>
      </c>
      <c r="F11" s="33">
        <v>23001</v>
      </c>
      <c r="G11" s="33">
        <v>56478</v>
      </c>
      <c r="H11" s="33">
        <v>21566</v>
      </c>
      <c r="I11" s="33">
        <v>36524</v>
      </c>
      <c r="J11" s="33">
        <v>23564</v>
      </c>
      <c r="K11" s="33">
        <v>25456</v>
      </c>
      <c r="L11" s="33">
        <v>23145</v>
      </c>
      <c r="M11" s="33">
        <v>36524</v>
      </c>
      <c r="N11" s="39">
        <f t="shared" si="0"/>
        <v>445867</v>
      </c>
    </row>
    <row r="12" spans="1:14" x14ac:dyDescent="0.35">
      <c r="A12" s="38" t="s">
        <v>159</v>
      </c>
      <c r="B12" s="33">
        <v>56412</v>
      </c>
      <c r="C12" s="33">
        <v>66958</v>
      </c>
      <c r="D12" s="33">
        <v>36594</v>
      </c>
      <c r="E12" s="33">
        <v>69557</v>
      </c>
      <c r="F12" s="33">
        <v>56412</v>
      </c>
      <c r="G12" s="33">
        <v>66958</v>
      </c>
      <c r="H12" s="33">
        <v>36594</v>
      </c>
      <c r="I12" s="33">
        <v>36524</v>
      </c>
      <c r="J12" s="33">
        <v>23564</v>
      </c>
      <c r="K12" s="33">
        <v>25456</v>
      </c>
      <c r="L12" s="33">
        <v>23145</v>
      </c>
      <c r="M12" s="33">
        <v>36524</v>
      </c>
      <c r="N12" s="39">
        <f t="shared" si="0"/>
        <v>534698</v>
      </c>
    </row>
    <row r="13" spans="1:14" x14ac:dyDescent="0.35">
      <c r="A13" s="38" t="s">
        <v>160</v>
      </c>
      <c r="B13" s="33">
        <v>23145</v>
      </c>
      <c r="C13" s="33">
        <v>36524</v>
      </c>
      <c r="D13" s="33">
        <v>23564</v>
      </c>
      <c r="E13" s="33">
        <v>25456</v>
      </c>
      <c r="F13" s="33">
        <v>23145</v>
      </c>
      <c r="G13" s="33">
        <v>36524</v>
      </c>
      <c r="H13" s="33">
        <v>23564</v>
      </c>
      <c r="I13" s="33">
        <v>25641</v>
      </c>
      <c r="J13" s="33">
        <v>32124</v>
      </c>
      <c r="K13" s="33">
        <v>26547</v>
      </c>
      <c r="L13" s="33">
        <v>56984</v>
      </c>
      <c r="M13" s="33">
        <v>25641</v>
      </c>
      <c r="N13" s="39">
        <f t="shared" si="0"/>
        <v>358859</v>
      </c>
    </row>
    <row r="14" spans="1:14" x14ac:dyDescent="0.35">
      <c r="A14" s="38" t="s">
        <v>161</v>
      </c>
      <c r="B14" s="33">
        <v>56984</v>
      </c>
      <c r="C14" s="33">
        <v>25641</v>
      </c>
      <c r="D14" s="33">
        <v>32124</v>
      </c>
      <c r="E14" s="33">
        <v>26547</v>
      </c>
      <c r="F14" s="33">
        <v>56984</v>
      </c>
      <c r="G14" s="33">
        <v>25641</v>
      </c>
      <c r="H14" s="33">
        <v>32124</v>
      </c>
      <c r="I14" s="33">
        <v>56886</v>
      </c>
      <c r="J14" s="33">
        <v>36445</v>
      </c>
      <c r="K14" s="33">
        <v>36586</v>
      </c>
      <c r="L14" s="33">
        <v>46545</v>
      </c>
      <c r="M14" s="33">
        <v>12547</v>
      </c>
      <c r="N14" s="39">
        <f t="shared" si="0"/>
        <v>445054</v>
      </c>
    </row>
    <row r="15" spans="1:14" x14ac:dyDescent="0.35">
      <c r="A15" s="38" t="s">
        <v>162</v>
      </c>
      <c r="B15" s="33">
        <v>36587</v>
      </c>
      <c r="C15" s="33">
        <v>56886</v>
      </c>
      <c r="D15" s="33">
        <v>36445</v>
      </c>
      <c r="E15" s="33">
        <v>36586</v>
      </c>
      <c r="F15" s="33">
        <v>46545</v>
      </c>
      <c r="G15" s="33">
        <v>12547</v>
      </c>
      <c r="H15" s="33">
        <v>98547</v>
      </c>
      <c r="I15" s="33">
        <v>46545</v>
      </c>
      <c r="J15" s="33">
        <v>12547</v>
      </c>
      <c r="K15" s="33">
        <v>98547</v>
      </c>
      <c r="L15" s="33">
        <v>56145</v>
      </c>
      <c r="M15" s="33">
        <v>36568</v>
      </c>
      <c r="N15" s="39">
        <f t="shared" si="0"/>
        <v>574495</v>
      </c>
    </row>
    <row r="16" spans="1:14" x14ac:dyDescent="0.35">
      <c r="A16" s="38" t="s">
        <v>151</v>
      </c>
      <c r="B16" s="33">
        <v>46545</v>
      </c>
      <c r="C16" s="33">
        <v>12547</v>
      </c>
      <c r="D16" s="33">
        <v>98547</v>
      </c>
      <c r="E16" s="33">
        <v>56844</v>
      </c>
      <c r="F16" s="33">
        <v>56145</v>
      </c>
      <c r="G16" s="33">
        <v>36568</v>
      </c>
      <c r="H16" s="33">
        <v>23565</v>
      </c>
      <c r="I16" s="33">
        <v>56145</v>
      </c>
      <c r="J16" s="33">
        <v>36568</v>
      </c>
      <c r="K16" s="33">
        <v>23565</v>
      </c>
      <c r="L16" s="33">
        <v>58474</v>
      </c>
      <c r="M16" s="33">
        <v>23553</v>
      </c>
      <c r="N16" s="39">
        <f t="shared" si="0"/>
        <v>529066</v>
      </c>
    </row>
    <row r="17" spans="1:14" x14ac:dyDescent="0.35">
      <c r="A17" s="38" t="s">
        <v>152</v>
      </c>
      <c r="B17" s="33">
        <v>23000</v>
      </c>
      <c r="C17" s="33">
        <v>65987</v>
      </c>
      <c r="D17" s="33">
        <v>54568</v>
      </c>
      <c r="E17" s="33">
        <v>36568</v>
      </c>
      <c r="F17" s="33">
        <v>26541</v>
      </c>
      <c r="G17" s="33">
        <v>32154</v>
      </c>
      <c r="H17" s="33">
        <v>36564</v>
      </c>
      <c r="I17" s="33">
        <v>26541</v>
      </c>
      <c r="J17" s="33">
        <v>32154</v>
      </c>
      <c r="K17" s="33">
        <v>36564</v>
      </c>
      <c r="L17" s="33">
        <v>36521</v>
      </c>
      <c r="M17" s="33">
        <v>23541</v>
      </c>
      <c r="N17" s="39">
        <f t="shared" si="0"/>
        <v>430703</v>
      </c>
    </row>
    <row r="18" spans="1:14" x14ac:dyDescent="0.35">
      <c r="A18" s="38" t="s">
        <v>153</v>
      </c>
      <c r="B18" s="33">
        <v>56000</v>
      </c>
      <c r="C18" s="33">
        <v>56145</v>
      </c>
      <c r="D18" s="33">
        <v>36568</v>
      </c>
      <c r="E18" s="33">
        <v>23565</v>
      </c>
      <c r="F18" s="33">
        <v>58474</v>
      </c>
      <c r="G18" s="33">
        <v>23553</v>
      </c>
      <c r="H18" s="33">
        <v>69584</v>
      </c>
      <c r="I18" s="33">
        <v>58474</v>
      </c>
      <c r="J18" s="33">
        <v>23553</v>
      </c>
      <c r="K18" s="33">
        <v>69584</v>
      </c>
      <c r="L18" s="33">
        <v>25641</v>
      </c>
      <c r="M18" s="33">
        <v>32654</v>
      </c>
      <c r="N18" s="39">
        <f t="shared" si="0"/>
        <v>533795</v>
      </c>
    </row>
  </sheetData>
  <mergeCells count="1">
    <mergeCell ref="A1:N2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6" workbookViewId="0">
      <selection activeCell="H11" sqref="H11"/>
    </sheetView>
  </sheetViews>
  <sheetFormatPr defaultRowHeight="14.5" x14ac:dyDescent="0.35"/>
  <cols>
    <col min="1" max="1" width="16.26953125" bestFit="1" customWidth="1"/>
    <col min="2" max="2" width="8" bestFit="1" customWidth="1"/>
    <col min="3" max="3" width="14.7265625" bestFit="1" customWidth="1"/>
    <col min="4" max="4" width="21.7265625" bestFit="1" customWidth="1"/>
  </cols>
  <sheetData>
    <row r="1" spans="1:10" x14ac:dyDescent="0.35">
      <c r="A1" s="88" t="s">
        <v>163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x14ac:dyDescent="0.35">
      <c r="A2" s="88"/>
      <c r="B2" s="88"/>
      <c r="C2" s="88"/>
      <c r="D2" s="88"/>
      <c r="E2" s="88"/>
      <c r="F2" s="88"/>
      <c r="G2" s="88"/>
      <c r="H2" s="88"/>
      <c r="I2" s="88"/>
      <c r="J2" s="88"/>
    </row>
    <row r="4" spans="1:10" ht="15.5" x14ac:dyDescent="0.35">
      <c r="A4" s="40" t="s">
        <v>164</v>
      </c>
      <c r="B4" s="40" t="s">
        <v>165</v>
      </c>
      <c r="C4" s="40" t="s">
        <v>166</v>
      </c>
      <c r="D4" s="40" t="s">
        <v>167</v>
      </c>
    </row>
    <row r="5" spans="1:10" x14ac:dyDescent="0.35">
      <c r="A5" s="10" t="s">
        <v>95</v>
      </c>
      <c r="B5" s="41">
        <v>30000</v>
      </c>
      <c r="C5" s="41">
        <v>7500</v>
      </c>
      <c r="D5" s="41">
        <v>10</v>
      </c>
    </row>
    <row r="6" spans="1:10" x14ac:dyDescent="0.35">
      <c r="A6" s="10" t="s">
        <v>96</v>
      </c>
      <c r="B6" s="41">
        <v>56000</v>
      </c>
      <c r="C6" s="41">
        <v>2300</v>
      </c>
      <c r="D6" s="41">
        <v>5</v>
      </c>
    </row>
    <row r="7" spans="1:10" x14ac:dyDescent="0.35">
      <c r="A7" s="10" t="s">
        <v>97</v>
      </c>
      <c r="B7" s="41">
        <v>120000</v>
      </c>
      <c r="C7" s="41">
        <v>5000</v>
      </c>
      <c r="D7" s="41">
        <v>12</v>
      </c>
    </row>
    <row r="8" spans="1:10" x14ac:dyDescent="0.35">
      <c r="A8" s="10" t="s">
        <v>98</v>
      </c>
      <c r="B8" s="41">
        <v>230000</v>
      </c>
      <c r="C8" s="41">
        <v>1500</v>
      </c>
      <c r="D8" s="41">
        <v>23</v>
      </c>
    </row>
    <row r="9" spans="1:10" x14ac:dyDescent="0.35">
      <c r="A9" s="10" t="s">
        <v>99</v>
      </c>
      <c r="B9" s="41">
        <v>450000</v>
      </c>
      <c r="C9" s="41">
        <v>4500</v>
      </c>
      <c r="D9" s="41">
        <v>15</v>
      </c>
    </row>
    <row r="10" spans="1:10" x14ac:dyDescent="0.35">
      <c r="A10" s="10" t="s">
        <v>100</v>
      </c>
      <c r="B10" s="41">
        <v>890000</v>
      </c>
      <c r="C10" s="41">
        <v>1200</v>
      </c>
      <c r="D10" s="41">
        <v>50</v>
      </c>
    </row>
    <row r="11" spans="1:10" x14ac:dyDescent="0.35">
      <c r="A11" s="10" t="s">
        <v>101</v>
      </c>
      <c r="B11" s="41">
        <v>20000</v>
      </c>
      <c r="C11" s="41">
        <v>500</v>
      </c>
      <c r="D11" s="41">
        <v>20</v>
      </c>
    </row>
    <row r="12" spans="1:10" x14ac:dyDescent="0.35">
      <c r="A12" s="10" t="s">
        <v>102</v>
      </c>
      <c r="B12" s="41">
        <v>56000</v>
      </c>
      <c r="C12" s="41">
        <v>230</v>
      </c>
      <c r="D12" s="41">
        <v>42</v>
      </c>
    </row>
    <row r="13" spans="1:10" x14ac:dyDescent="0.35">
      <c r="A13" s="10" t="s">
        <v>103</v>
      </c>
      <c r="B13" s="41">
        <v>750000</v>
      </c>
      <c r="C13" s="41">
        <v>5600</v>
      </c>
      <c r="D13" s="41">
        <v>10</v>
      </c>
    </row>
    <row r="14" spans="1:10" x14ac:dyDescent="0.35">
      <c r="A14" s="10" t="s">
        <v>104</v>
      </c>
      <c r="B14" s="41">
        <v>450000</v>
      </c>
      <c r="C14" s="41">
        <v>5200</v>
      </c>
      <c r="D14" s="41">
        <v>50</v>
      </c>
    </row>
    <row r="15" spans="1:10" x14ac:dyDescent="0.35">
      <c r="A15" s="10" t="s">
        <v>105</v>
      </c>
      <c r="B15" s="41">
        <v>230000</v>
      </c>
      <c r="C15" s="41">
        <v>9600</v>
      </c>
      <c r="D15" s="41">
        <v>25</v>
      </c>
    </row>
    <row r="16" spans="1:10" x14ac:dyDescent="0.35">
      <c r="A16" s="10" t="s">
        <v>106</v>
      </c>
      <c r="B16" s="41">
        <v>450000</v>
      </c>
      <c r="C16" s="41">
        <v>2300</v>
      </c>
      <c r="D16" s="41">
        <v>14</v>
      </c>
    </row>
    <row r="17" spans="1:4" x14ac:dyDescent="0.35">
      <c r="A17" s="10" t="s">
        <v>107</v>
      </c>
      <c r="B17" s="41">
        <v>1200000</v>
      </c>
      <c r="C17" s="41">
        <v>1000</v>
      </c>
      <c r="D17" s="41">
        <v>32</v>
      </c>
    </row>
    <row r="18" spans="1:4" x14ac:dyDescent="0.35">
      <c r="A18" s="10" t="s">
        <v>108</v>
      </c>
      <c r="B18" s="41">
        <v>520000</v>
      </c>
      <c r="C18" s="41">
        <v>780</v>
      </c>
      <c r="D18" s="41">
        <v>20</v>
      </c>
    </row>
    <row r="19" spans="1:4" x14ac:dyDescent="0.35">
      <c r="A19" s="10" t="s">
        <v>109</v>
      </c>
      <c r="B19" s="41">
        <v>650000</v>
      </c>
      <c r="C19" s="41">
        <v>2300</v>
      </c>
      <c r="D19" s="41">
        <v>10</v>
      </c>
    </row>
    <row r="20" spans="1:4" x14ac:dyDescent="0.35">
      <c r="A20" s="10" t="s">
        <v>110</v>
      </c>
      <c r="B20" s="41">
        <v>750000</v>
      </c>
      <c r="C20" s="41">
        <v>200</v>
      </c>
      <c r="D20" s="41">
        <v>20</v>
      </c>
    </row>
    <row r="21" spans="1:4" x14ac:dyDescent="0.35">
      <c r="A21" s="10" t="s">
        <v>111</v>
      </c>
      <c r="B21" s="41">
        <v>230000</v>
      </c>
      <c r="C21" s="41">
        <v>860</v>
      </c>
      <c r="D21" s="41">
        <v>30</v>
      </c>
    </row>
    <row r="22" spans="1:4" x14ac:dyDescent="0.35">
      <c r="A22" s="10" t="s">
        <v>112</v>
      </c>
      <c r="B22" s="41">
        <v>30000</v>
      </c>
      <c r="C22" s="41">
        <v>7500</v>
      </c>
      <c r="D22" s="41">
        <v>10</v>
      </c>
    </row>
    <row r="23" spans="1:4" x14ac:dyDescent="0.35">
      <c r="A23" s="10" t="s">
        <v>113</v>
      </c>
      <c r="B23" s="41">
        <v>56000</v>
      </c>
      <c r="C23" s="41">
        <v>2300</v>
      </c>
      <c r="D23" s="41">
        <v>5</v>
      </c>
    </row>
    <row r="24" spans="1:4" x14ac:dyDescent="0.35">
      <c r="A24" s="10" t="s">
        <v>114</v>
      </c>
      <c r="B24" s="41">
        <v>120000</v>
      </c>
      <c r="C24" s="41">
        <v>5000</v>
      </c>
      <c r="D24" s="41">
        <v>12</v>
      </c>
    </row>
    <row r="25" spans="1:4" x14ac:dyDescent="0.35">
      <c r="A25" s="10" t="s">
        <v>115</v>
      </c>
      <c r="B25" s="41">
        <v>230000</v>
      </c>
      <c r="C25" s="41">
        <v>1500</v>
      </c>
      <c r="D25" s="41">
        <v>23</v>
      </c>
    </row>
  </sheetData>
  <mergeCells count="1">
    <mergeCell ref="A1:J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10" zoomScale="62" workbookViewId="0">
      <selection activeCell="A3" sqref="A3:D23"/>
    </sheetView>
  </sheetViews>
  <sheetFormatPr defaultRowHeight="14.5" x14ac:dyDescent="0.35"/>
  <cols>
    <col min="1" max="1" width="22.453125" bestFit="1" customWidth="1"/>
    <col min="2" max="2" width="8.1796875" bestFit="1" customWidth="1"/>
    <col min="3" max="3" width="31" bestFit="1" customWidth="1"/>
    <col min="4" max="4" width="12.26953125" bestFit="1" customWidth="1"/>
  </cols>
  <sheetData>
    <row r="1" spans="1:4" x14ac:dyDescent="0.35">
      <c r="A1" s="88" t="s">
        <v>172</v>
      </c>
      <c r="B1" s="88"/>
      <c r="C1" s="88"/>
      <c r="D1" s="88"/>
    </row>
    <row r="2" spans="1:4" x14ac:dyDescent="0.35">
      <c r="A2" s="91"/>
      <c r="B2" s="91"/>
      <c r="C2" s="91"/>
      <c r="D2" s="91"/>
    </row>
    <row r="3" spans="1:4" ht="30" customHeight="1" x14ac:dyDescent="0.35">
      <c r="A3" s="42" t="s">
        <v>168</v>
      </c>
      <c r="B3" s="42" t="s">
        <v>169</v>
      </c>
      <c r="C3" s="42" t="s">
        <v>170</v>
      </c>
      <c r="D3" s="42" t="s">
        <v>171</v>
      </c>
    </row>
    <row r="4" spans="1:4" ht="30" customHeight="1" x14ac:dyDescent="0.45">
      <c r="A4" s="43">
        <v>0.1</v>
      </c>
      <c r="B4" s="44">
        <v>2</v>
      </c>
      <c r="C4" s="44">
        <v>3</v>
      </c>
      <c r="D4" s="44">
        <v>800000</v>
      </c>
    </row>
    <row r="5" spans="1:4" ht="30" customHeight="1" x14ac:dyDescent="0.45">
      <c r="A5" s="43">
        <v>0.12</v>
      </c>
      <c r="B5" s="44">
        <v>2</v>
      </c>
      <c r="C5" s="44">
        <v>2</v>
      </c>
      <c r="D5" s="44">
        <v>1200000</v>
      </c>
    </row>
    <row r="6" spans="1:4" ht="30" customHeight="1" x14ac:dyDescent="0.45">
      <c r="A6" s="43">
        <v>0.08</v>
      </c>
      <c r="B6" s="44">
        <v>5</v>
      </c>
      <c r="C6" s="44">
        <v>1</v>
      </c>
      <c r="D6" s="44">
        <v>560000</v>
      </c>
    </row>
    <row r="7" spans="1:4" ht="30" customHeight="1" x14ac:dyDescent="0.45">
      <c r="A7" s="43">
        <v>0.09</v>
      </c>
      <c r="B7" s="44">
        <v>3</v>
      </c>
      <c r="C7" s="44">
        <v>4</v>
      </c>
      <c r="D7" s="44">
        <v>420000</v>
      </c>
    </row>
    <row r="8" spans="1:4" ht="30" customHeight="1" x14ac:dyDescent="0.45">
      <c r="A8" s="43">
        <v>0.15</v>
      </c>
      <c r="B8" s="44">
        <v>6</v>
      </c>
      <c r="C8" s="44">
        <v>3</v>
      </c>
      <c r="D8" s="44">
        <v>230000</v>
      </c>
    </row>
    <row r="9" spans="1:4" ht="30" customHeight="1" x14ac:dyDescent="0.45">
      <c r="A9" s="43">
        <v>0.22</v>
      </c>
      <c r="B9" s="44">
        <v>4</v>
      </c>
      <c r="C9" s="44">
        <v>2</v>
      </c>
      <c r="D9" s="44">
        <v>120000</v>
      </c>
    </row>
    <row r="10" spans="1:4" ht="30" customHeight="1" x14ac:dyDescent="0.45">
      <c r="A10" s="43">
        <v>0.2</v>
      </c>
      <c r="B10" s="44">
        <v>3</v>
      </c>
      <c r="C10" s="44">
        <v>4</v>
      </c>
      <c r="D10" s="44">
        <v>520000</v>
      </c>
    </row>
    <row r="11" spans="1:4" ht="30" customHeight="1" x14ac:dyDescent="0.45">
      <c r="A11" s="43">
        <v>0.02</v>
      </c>
      <c r="B11" s="44">
        <v>2</v>
      </c>
      <c r="C11" s="44">
        <v>1</v>
      </c>
      <c r="D11" s="44">
        <v>320000</v>
      </c>
    </row>
    <row r="12" spans="1:4" ht="30" customHeight="1" x14ac:dyDescent="0.45">
      <c r="A12" s="43">
        <v>0.05</v>
      </c>
      <c r="B12" s="44">
        <v>1</v>
      </c>
      <c r="C12" s="44">
        <v>3</v>
      </c>
      <c r="D12" s="44">
        <v>140000</v>
      </c>
    </row>
    <row r="13" spans="1:4" ht="30" customHeight="1" x14ac:dyDescent="0.45">
      <c r="A13" s="43">
        <v>7.0000000000000007E-2</v>
      </c>
      <c r="B13" s="44">
        <v>5</v>
      </c>
      <c r="C13" s="44">
        <v>4</v>
      </c>
      <c r="D13" s="44">
        <v>520000</v>
      </c>
    </row>
    <row r="14" spans="1:4" ht="30" customHeight="1" x14ac:dyDescent="0.45">
      <c r="A14" s="43">
        <v>0.25</v>
      </c>
      <c r="B14" s="44">
        <v>6</v>
      </c>
      <c r="C14" s="44">
        <v>2</v>
      </c>
      <c r="D14" s="44">
        <v>350000</v>
      </c>
    </row>
    <row r="15" spans="1:4" ht="30" customHeight="1" x14ac:dyDescent="0.45">
      <c r="A15" s="45">
        <v>7.4999999999999997E-2</v>
      </c>
      <c r="B15" s="44">
        <v>2</v>
      </c>
      <c r="C15" s="44">
        <v>3</v>
      </c>
      <c r="D15" s="44">
        <v>253000</v>
      </c>
    </row>
    <row r="16" spans="1:4" ht="30" customHeight="1" x14ac:dyDescent="0.45">
      <c r="A16" s="43">
        <v>0.06</v>
      </c>
      <c r="B16" s="44">
        <v>3</v>
      </c>
      <c r="C16" s="44">
        <v>1</v>
      </c>
      <c r="D16" s="44">
        <v>800000</v>
      </c>
    </row>
    <row r="17" spans="1:4" ht="30" customHeight="1" x14ac:dyDescent="0.45">
      <c r="A17" s="43">
        <v>0.03</v>
      </c>
      <c r="B17" s="44">
        <v>1</v>
      </c>
      <c r="C17" s="44">
        <v>3</v>
      </c>
      <c r="D17" s="44">
        <v>8500000</v>
      </c>
    </row>
    <row r="18" spans="1:4" ht="30" customHeight="1" x14ac:dyDescent="0.45">
      <c r="A18" s="43">
        <v>0.04</v>
      </c>
      <c r="B18" s="44">
        <v>5</v>
      </c>
      <c r="C18" s="44">
        <v>5</v>
      </c>
      <c r="D18" s="44">
        <v>950000</v>
      </c>
    </row>
    <row r="19" spans="1:4" ht="30" customHeight="1" x14ac:dyDescent="0.45">
      <c r="A19" s="45">
        <v>4.4999999999999998E-2</v>
      </c>
      <c r="B19" s="44">
        <v>3</v>
      </c>
      <c r="C19" s="44">
        <v>4</v>
      </c>
      <c r="D19" s="44">
        <v>750000</v>
      </c>
    </row>
    <row r="20" spans="1:4" ht="30" customHeight="1" x14ac:dyDescent="0.45">
      <c r="A20" s="45">
        <v>6.5000000000000002E-2</v>
      </c>
      <c r="B20" s="44">
        <v>2</v>
      </c>
      <c r="C20" s="44">
        <v>3</v>
      </c>
      <c r="D20" s="44">
        <v>460000</v>
      </c>
    </row>
    <row r="21" spans="1:4" ht="30" customHeight="1" x14ac:dyDescent="0.45">
      <c r="A21" s="43">
        <v>0.06</v>
      </c>
      <c r="B21" s="44">
        <v>1</v>
      </c>
      <c r="C21" s="44">
        <v>2</v>
      </c>
      <c r="D21" s="44">
        <v>520000</v>
      </c>
    </row>
    <row r="22" spans="1:4" ht="30" customHeight="1" x14ac:dyDescent="0.45">
      <c r="A22" s="43">
        <v>0.12</v>
      </c>
      <c r="B22" s="44">
        <v>2</v>
      </c>
      <c r="C22" s="44">
        <v>2</v>
      </c>
      <c r="D22" s="44">
        <v>1200000</v>
      </c>
    </row>
    <row r="23" spans="1:4" ht="30" customHeight="1" x14ac:dyDescent="0.45">
      <c r="A23" s="43">
        <v>0.08</v>
      </c>
      <c r="B23" s="44">
        <v>5</v>
      </c>
      <c r="C23" s="44">
        <v>1</v>
      </c>
      <c r="D23" s="44">
        <v>560000</v>
      </c>
    </row>
  </sheetData>
  <mergeCells count="1">
    <mergeCell ref="A1:D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7" zoomScale="74" zoomScaleNormal="61" workbookViewId="0">
      <selection activeCell="K17" sqref="K17"/>
    </sheetView>
  </sheetViews>
  <sheetFormatPr defaultRowHeight="14.5" x14ac:dyDescent="0.35"/>
  <cols>
    <col min="1" max="1" width="10.1796875" bestFit="1" customWidth="1"/>
    <col min="2" max="2" width="19.08984375" bestFit="1" customWidth="1"/>
    <col min="3" max="3" width="9.81640625" bestFit="1" customWidth="1"/>
    <col min="4" max="4" width="12.26953125" bestFit="1" customWidth="1"/>
    <col min="5" max="5" width="11.1796875" bestFit="1" customWidth="1"/>
    <col min="7" max="7" width="15.453125" bestFit="1" customWidth="1"/>
    <col min="8" max="8" width="26.26953125" bestFit="1" customWidth="1"/>
  </cols>
  <sheetData>
    <row r="1" spans="1:8" x14ac:dyDescent="0.35">
      <c r="A1" s="89" t="s">
        <v>184</v>
      </c>
      <c r="B1" s="89"/>
      <c r="C1" s="89"/>
      <c r="D1" s="89"/>
      <c r="E1" s="89"/>
    </row>
    <row r="2" spans="1:8" x14ac:dyDescent="0.35">
      <c r="A2" s="90"/>
      <c r="B2" s="90"/>
      <c r="C2" s="90"/>
      <c r="D2" s="90"/>
      <c r="E2" s="90"/>
      <c r="G2" s="92" t="s">
        <v>185</v>
      </c>
      <c r="H2" s="93"/>
    </row>
    <row r="3" spans="1:8" ht="18.5" x14ac:dyDescent="0.45">
      <c r="A3" s="46" t="s">
        <v>173</v>
      </c>
      <c r="B3" s="46" t="s">
        <v>174</v>
      </c>
      <c r="C3" s="46" t="s">
        <v>175</v>
      </c>
      <c r="D3" s="46" t="s">
        <v>176</v>
      </c>
      <c r="E3" s="46" t="s">
        <v>177</v>
      </c>
      <c r="G3" s="48" t="s">
        <v>186</v>
      </c>
      <c r="H3" s="48" t="s">
        <v>187</v>
      </c>
    </row>
    <row r="4" spans="1:8" ht="18.5" x14ac:dyDescent="0.45">
      <c r="A4" s="47" t="s">
        <v>178</v>
      </c>
      <c r="B4" s="5" t="str">
        <f>VLOOKUP(A4,G4:$H$10,2,FALSE)</f>
        <v>NOTE BOOK SPEEDY I</v>
      </c>
      <c r="C4" s="47">
        <v>7389</v>
      </c>
      <c r="D4" s="47">
        <v>39268</v>
      </c>
      <c r="E4" s="5">
        <f>VLOOKUP(D4,$G$16:$H$25,2,FALSE)</f>
        <v>39264</v>
      </c>
      <c r="G4" s="36" t="s">
        <v>188</v>
      </c>
      <c r="H4" s="36" t="s">
        <v>189</v>
      </c>
    </row>
    <row r="5" spans="1:8" ht="18.5" x14ac:dyDescent="0.45">
      <c r="A5" s="47" t="s">
        <v>179</v>
      </c>
      <c r="B5" s="5" t="str">
        <f>VLOOKUP(A5,G5:$H$10,2,FALSE)</f>
        <v>NOTE BOOK SPEEDY II</v>
      </c>
      <c r="C5" s="47">
        <v>2654</v>
      </c>
      <c r="D5" s="47">
        <v>39268</v>
      </c>
      <c r="E5" s="5">
        <f t="shared" ref="E5:E7" si="0">VLOOKUP(D5,$G$16:$H$25,2,FALSE)</f>
        <v>39264</v>
      </c>
      <c r="G5" s="36" t="s">
        <v>190</v>
      </c>
      <c r="H5" s="36" t="s">
        <v>191</v>
      </c>
    </row>
    <row r="6" spans="1:8" ht="18.5" x14ac:dyDescent="0.45">
      <c r="A6" s="47" t="s">
        <v>178</v>
      </c>
      <c r="B6" s="5" t="str">
        <f>VLOOKUP(A6,G4:$H$10,2,FALSE)</f>
        <v>NOTE BOOK SPEEDY I</v>
      </c>
      <c r="C6" s="47">
        <v>1214</v>
      </c>
      <c r="D6" s="47">
        <v>39269</v>
      </c>
      <c r="E6" s="5">
        <f t="shared" si="0"/>
        <v>39264</v>
      </c>
      <c r="G6" s="36" t="s">
        <v>192</v>
      </c>
      <c r="H6" s="36" t="s">
        <v>193</v>
      </c>
    </row>
    <row r="7" spans="1:8" ht="18.5" x14ac:dyDescent="0.45">
      <c r="A7" s="47" t="s">
        <v>180</v>
      </c>
      <c r="B7" s="5" t="str">
        <f>VLOOKUP(A7,G5:$H$10,2,FALSE)</f>
        <v>PC THINK BOX</v>
      </c>
      <c r="C7" s="47">
        <v>6665</v>
      </c>
      <c r="D7" s="47">
        <v>39269</v>
      </c>
      <c r="E7" s="5">
        <f t="shared" si="0"/>
        <v>39264</v>
      </c>
      <c r="G7" s="36" t="s">
        <v>194</v>
      </c>
      <c r="H7" s="36" t="s">
        <v>195</v>
      </c>
    </row>
    <row r="8" spans="1:8" ht="18.5" x14ac:dyDescent="0.45">
      <c r="A8" s="47" t="s">
        <v>181</v>
      </c>
      <c r="B8" s="5" t="str">
        <f>VLOOKUP(A8,G6:$H$10,2,FALSE)</f>
        <v>IPHONES PXL</v>
      </c>
      <c r="C8" s="47">
        <v>1425</v>
      </c>
      <c r="D8" s="47">
        <v>39281</v>
      </c>
      <c r="E8" s="5">
        <f>VLOOKUP(D8,$G$16:$H$27,2,FALSE)</f>
        <v>39395</v>
      </c>
      <c r="G8" s="36" t="s">
        <v>196</v>
      </c>
      <c r="H8" s="36" t="s">
        <v>197</v>
      </c>
    </row>
    <row r="9" spans="1:8" ht="18.5" x14ac:dyDescent="0.45">
      <c r="A9" s="47" t="s">
        <v>182</v>
      </c>
      <c r="B9" s="5" t="str">
        <f>VLOOKUP(A9,G7:$H$10,2,FALSE)</f>
        <v>USB ADAPTOR</v>
      </c>
      <c r="C9" s="47">
        <v>2124</v>
      </c>
      <c r="D9" s="47">
        <v>39301</v>
      </c>
      <c r="E9" s="5">
        <f t="shared" ref="E9:E25" si="1">VLOOKUP(D9,$G$16:$H$27,2,FALSE)</f>
        <v>39295</v>
      </c>
      <c r="G9" s="36" t="s">
        <v>198</v>
      </c>
      <c r="H9" s="36" t="s">
        <v>199</v>
      </c>
    </row>
    <row r="10" spans="1:8" ht="18.5" x14ac:dyDescent="0.45">
      <c r="A10" s="47" t="s">
        <v>183</v>
      </c>
      <c r="B10" s="5" t="str">
        <f>VLOOKUP(A10,G8:$H$10,2,FALSE)</f>
        <v>SAMSUNG CHARGER</v>
      </c>
      <c r="C10" s="47">
        <v>6587</v>
      </c>
      <c r="D10" s="47">
        <v>39306</v>
      </c>
      <c r="E10" s="5">
        <f t="shared" si="1"/>
        <v>39295</v>
      </c>
      <c r="G10" s="36" t="s">
        <v>200</v>
      </c>
      <c r="H10" s="36" t="s">
        <v>201</v>
      </c>
    </row>
    <row r="11" spans="1:8" x14ac:dyDescent="0.35">
      <c r="A11" s="47" t="s">
        <v>178</v>
      </c>
      <c r="B11" s="5" t="str">
        <f>VLOOKUP(A11,$G$4:$H$10,2,FALSE)</f>
        <v>NOTE BOOK SPEEDY I</v>
      </c>
      <c r="C11" s="47">
        <v>6958</v>
      </c>
      <c r="D11" s="47">
        <v>39316</v>
      </c>
      <c r="E11" s="5">
        <f t="shared" si="1"/>
        <v>49485</v>
      </c>
    </row>
    <row r="12" spans="1:8" x14ac:dyDescent="0.35">
      <c r="A12" s="47" t="s">
        <v>179</v>
      </c>
      <c r="B12" s="5" t="str">
        <f t="shared" ref="B12:B25" si="2">VLOOKUP(A12,$G$4:$H$10,2,FALSE)</f>
        <v>NOTE BOOK SPEEDY II</v>
      </c>
      <c r="C12" s="47">
        <v>3652</v>
      </c>
      <c r="D12" s="47">
        <v>39316</v>
      </c>
      <c r="E12" s="5">
        <f t="shared" si="1"/>
        <v>49485</v>
      </c>
    </row>
    <row r="13" spans="1:8" x14ac:dyDescent="0.35">
      <c r="A13" s="47" t="s">
        <v>178</v>
      </c>
      <c r="B13" s="5" t="str">
        <f t="shared" si="2"/>
        <v>NOTE BOOK SPEEDY I</v>
      </c>
      <c r="C13" s="47">
        <v>1215</v>
      </c>
      <c r="D13" s="47">
        <v>39301</v>
      </c>
      <c r="E13" s="5">
        <f t="shared" si="1"/>
        <v>39295</v>
      </c>
    </row>
    <row r="14" spans="1:8" x14ac:dyDescent="0.35">
      <c r="A14" s="47" t="s">
        <v>180</v>
      </c>
      <c r="B14" s="5" t="str">
        <f t="shared" si="2"/>
        <v>PC THINK BOX</v>
      </c>
      <c r="C14" s="47">
        <v>5847</v>
      </c>
      <c r="D14" s="47">
        <v>39269</v>
      </c>
      <c r="E14" s="5">
        <f t="shared" si="1"/>
        <v>39264</v>
      </c>
      <c r="G14" s="92" t="s">
        <v>202</v>
      </c>
      <c r="H14" s="93"/>
    </row>
    <row r="15" spans="1:8" ht="18.5" x14ac:dyDescent="0.45">
      <c r="A15" s="47" t="s">
        <v>181</v>
      </c>
      <c r="B15" s="5" t="str">
        <f t="shared" si="2"/>
        <v>IPHONES PXL</v>
      </c>
      <c r="C15" s="47">
        <v>2687</v>
      </c>
      <c r="D15" s="47">
        <v>39269</v>
      </c>
      <c r="E15" s="5">
        <f t="shared" si="1"/>
        <v>39264</v>
      </c>
      <c r="G15" s="48" t="s">
        <v>203</v>
      </c>
      <c r="H15" s="48" t="s">
        <v>204</v>
      </c>
    </row>
    <row r="16" spans="1:8" ht="18.5" x14ac:dyDescent="0.45">
      <c r="A16" s="47" t="s">
        <v>182</v>
      </c>
      <c r="B16" s="5" t="str">
        <f t="shared" si="2"/>
        <v>USB ADAPTOR</v>
      </c>
      <c r="C16" s="47">
        <v>2013</v>
      </c>
      <c r="D16" s="47">
        <v>39281</v>
      </c>
      <c r="E16" s="5">
        <f t="shared" si="1"/>
        <v>39395</v>
      </c>
      <c r="G16" s="36">
        <v>39268</v>
      </c>
      <c r="H16" s="36">
        <v>39264</v>
      </c>
    </row>
    <row r="17" spans="1:8" ht="18.5" x14ac:dyDescent="0.45">
      <c r="A17" s="47" t="s">
        <v>183</v>
      </c>
      <c r="B17" s="5" t="str">
        <f t="shared" si="2"/>
        <v>SAMSUNG CHARGER</v>
      </c>
      <c r="C17" s="47">
        <v>6547</v>
      </c>
      <c r="D17" s="47">
        <v>39301</v>
      </c>
      <c r="E17" s="5">
        <f t="shared" si="1"/>
        <v>39295</v>
      </c>
      <c r="G17" s="36">
        <v>39269</v>
      </c>
      <c r="H17" s="36">
        <v>39264</v>
      </c>
    </row>
    <row r="18" spans="1:8" ht="18.5" x14ac:dyDescent="0.45">
      <c r="A18" s="47" t="s">
        <v>178</v>
      </c>
      <c r="B18" s="5" t="str">
        <f t="shared" si="2"/>
        <v>NOTE BOOK SPEEDY I</v>
      </c>
      <c r="C18" s="47">
        <v>2013</v>
      </c>
      <c r="D18" s="47">
        <v>39306</v>
      </c>
      <c r="E18" s="5">
        <f t="shared" si="1"/>
        <v>39295</v>
      </c>
      <c r="G18" s="36">
        <v>39274</v>
      </c>
      <c r="H18" s="36">
        <v>39264</v>
      </c>
    </row>
    <row r="19" spans="1:8" ht="18.5" x14ac:dyDescent="0.45">
      <c r="A19" s="47" t="s">
        <v>179</v>
      </c>
      <c r="B19" s="5" t="str">
        <f t="shared" si="2"/>
        <v>NOTE BOOK SPEEDY II</v>
      </c>
      <c r="C19" s="47">
        <v>6547</v>
      </c>
      <c r="D19" s="47">
        <v>39316</v>
      </c>
      <c r="E19" s="5">
        <f t="shared" si="1"/>
        <v>49485</v>
      </c>
      <c r="G19" s="36">
        <v>39300</v>
      </c>
      <c r="H19" s="36">
        <v>39295</v>
      </c>
    </row>
    <row r="20" spans="1:8" ht="18.5" x14ac:dyDescent="0.45">
      <c r="A20" s="47" t="s">
        <v>178</v>
      </c>
      <c r="B20" s="5" t="str">
        <f t="shared" si="2"/>
        <v>NOTE BOOK SPEEDY I</v>
      </c>
      <c r="C20" s="47">
        <v>5689</v>
      </c>
      <c r="D20" s="47">
        <v>39316</v>
      </c>
      <c r="E20" s="5">
        <f t="shared" si="1"/>
        <v>49485</v>
      </c>
      <c r="G20" s="36">
        <v>39301</v>
      </c>
      <c r="H20" s="36">
        <v>39295</v>
      </c>
    </row>
    <row r="21" spans="1:8" ht="18.5" x14ac:dyDescent="0.45">
      <c r="A21" s="47" t="s">
        <v>180</v>
      </c>
      <c r="B21" s="5" t="str">
        <f t="shared" si="2"/>
        <v>PC THINK BOX</v>
      </c>
      <c r="C21" s="47">
        <v>6561</v>
      </c>
      <c r="D21" s="47">
        <v>39281</v>
      </c>
      <c r="E21" s="5">
        <f t="shared" si="1"/>
        <v>39395</v>
      </c>
      <c r="G21" s="36">
        <v>39306</v>
      </c>
      <c r="H21" s="36">
        <v>39295</v>
      </c>
    </row>
    <row r="22" spans="1:8" ht="18.5" x14ac:dyDescent="0.45">
      <c r="A22" s="47" t="s">
        <v>178</v>
      </c>
      <c r="B22" s="5" t="str">
        <f t="shared" si="2"/>
        <v>NOTE BOOK SPEEDY I</v>
      </c>
      <c r="C22" s="47">
        <v>6665</v>
      </c>
      <c r="D22" s="47">
        <v>39268</v>
      </c>
      <c r="E22" s="5">
        <f t="shared" si="1"/>
        <v>39264</v>
      </c>
      <c r="G22" s="36">
        <v>39300</v>
      </c>
      <c r="H22" s="36">
        <v>39295</v>
      </c>
    </row>
    <row r="23" spans="1:8" ht="18.5" x14ac:dyDescent="0.45">
      <c r="A23" s="47" t="s">
        <v>180</v>
      </c>
      <c r="B23" s="5" t="str">
        <f t="shared" si="2"/>
        <v>PC THINK BOX</v>
      </c>
      <c r="C23" s="47">
        <v>1425</v>
      </c>
      <c r="D23" s="47">
        <v>39281</v>
      </c>
      <c r="E23" s="5">
        <f t="shared" si="1"/>
        <v>39395</v>
      </c>
      <c r="G23" s="36">
        <v>39301</v>
      </c>
      <c r="H23" s="36">
        <v>39295</v>
      </c>
    </row>
    <row r="24" spans="1:8" ht="18.5" x14ac:dyDescent="0.45">
      <c r="A24" s="47" t="s">
        <v>181</v>
      </c>
      <c r="B24" s="5" t="str">
        <f t="shared" si="2"/>
        <v>IPHONES PXL</v>
      </c>
      <c r="C24" s="47">
        <v>2124</v>
      </c>
      <c r="D24" s="47">
        <v>39306</v>
      </c>
      <c r="E24" s="5">
        <f t="shared" si="1"/>
        <v>39295</v>
      </c>
      <c r="G24" s="36">
        <v>39306</v>
      </c>
      <c r="H24" s="36">
        <v>39295</v>
      </c>
    </row>
    <row r="25" spans="1:8" ht="18.5" x14ac:dyDescent="0.45">
      <c r="A25" s="47" t="s">
        <v>182</v>
      </c>
      <c r="B25" s="5" t="str">
        <f t="shared" si="2"/>
        <v>USB ADAPTOR</v>
      </c>
      <c r="C25" s="47">
        <v>6587</v>
      </c>
      <c r="D25" s="47">
        <v>39316</v>
      </c>
      <c r="E25" s="5">
        <f t="shared" si="1"/>
        <v>49485</v>
      </c>
      <c r="G25" s="36">
        <v>39309</v>
      </c>
      <c r="H25" s="36">
        <v>39295</v>
      </c>
    </row>
    <row r="26" spans="1:8" ht="18.5" x14ac:dyDescent="0.45">
      <c r="G26" s="70">
        <v>39281</v>
      </c>
      <c r="H26" s="70">
        <v>39395</v>
      </c>
    </row>
    <row r="27" spans="1:8" ht="18.5" x14ac:dyDescent="0.45">
      <c r="G27" s="70">
        <v>39316</v>
      </c>
      <c r="H27" s="70">
        <v>49485</v>
      </c>
    </row>
  </sheetData>
  <mergeCells count="3">
    <mergeCell ref="A1:E2"/>
    <mergeCell ref="G2:H2"/>
    <mergeCell ref="G14:H14"/>
  </mergeCells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opLeftCell="A5" zoomScale="52" workbookViewId="0">
      <selection activeCell="M39" sqref="M39"/>
    </sheetView>
  </sheetViews>
  <sheetFormatPr defaultRowHeight="14.5" x14ac:dyDescent="0.35"/>
  <cols>
    <col min="1" max="1" width="15.6328125" bestFit="1" customWidth="1"/>
    <col min="2" max="2" width="23.90625" bestFit="1" customWidth="1"/>
    <col min="3" max="3" width="24.36328125" bestFit="1" customWidth="1"/>
    <col min="4" max="4" width="23.90625" bestFit="1" customWidth="1"/>
    <col min="5" max="5" width="15.6328125" bestFit="1" customWidth="1"/>
    <col min="6" max="6" width="14.90625" bestFit="1" customWidth="1"/>
    <col min="7" max="7" width="16" bestFit="1" customWidth="1"/>
    <col min="8" max="8" width="22.26953125" bestFit="1" customWidth="1"/>
    <col min="9" max="9" width="23.90625" bestFit="1" customWidth="1"/>
    <col min="10" max="10" width="24.36328125" bestFit="1" customWidth="1"/>
    <col min="11" max="11" width="23.90625" bestFit="1" customWidth="1"/>
    <col min="12" max="12" width="15.6328125" bestFit="1" customWidth="1"/>
    <col min="13" max="13" width="14.90625" bestFit="1" customWidth="1"/>
    <col min="14" max="14" width="16" bestFit="1" customWidth="1"/>
    <col min="15" max="15" width="22.26953125" bestFit="1" customWidth="1"/>
    <col min="16" max="16" width="23.90625" bestFit="1" customWidth="1"/>
    <col min="17" max="17" width="24.36328125" bestFit="1" customWidth="1"/>
    <col min="18" max="18" width="23.90625" bestFit="1" customWidth="1"/>
    <col min="19" max="19" width="15.6328125" bestFit="1" customWidth="1"/>
    <col min="20" max="20" width="23.90625" bestFit="1" customWidth="1"/>
    <col min="21" max="21" width="15.6328125" bestFit="1" customWidth="1"/>
    <col min="22" max="22" width="14.90625" bestFit="1" customWidth="1"/>
    <col min="23" max="23" width="16" bestFit="1" customWidth="1"/>
  </cols>
  <sheetData>
    <row r="1" spans="1:23" ht="26" x14ac:dyDescent="0.6">
      <c r="D1" s="94" t="s">
        <v>262</v>
      </c>
      <c r="E1" s="94"/>
    </row>
    <row r="6" spans="1:23" x14ac:dyDescent="0.35">
      <c r="A6" s="46" t="s">
        <v>173</v>
      </c>
      <c r="B6" s="47" t="s">
        <v>178</v>
      </c>
      <c r="C6" s="47" t="s">
        <v>179</v>
      </c>
      <c r="D6" s="47" t="s">
        <v>178</v>
      </c>
      <c r="E6" s="47" t="s">
        <v>180</v>
      </c>
      <c r="F6" s="47" t="s">
        <v>181</v>
      </c>
      <c r="G6" s="47" t="s">
        <v>182</v>
      </c>
      <c r="H6" s="47" t="s">
        <v>183</v>
      </c>
      <c r="I6" s="47" t="s">
        <v>178</v>
      </c>
      <c r="J6" s="47" t="s">
        <v>179</v>
      </c>
      <c r="K6" s="47" t="s">
        <v>178</v>
      </c>
      <c r="L6" s="47" t="s">
        <v>180</v>
      </c>
      <c r="M6" s="47" t="s">
        <v>181</v>
      </c>
      <c r="N6" s="47" t="s">
        <v>182</v>
      </c>
      <c r="O6" s="47" t="s">
        <v>183</v>
      </c>
      <c r="P6" s="47" t="s">
        <v>178</v>
      </c>
      <c r="Q6" s="47" t="s">
        <v>179</v>
      </c>
      <c r="R6" s="47" t="s">
        <v>178</v>
      </c>
      <c r="S6" s="47" t="s">
        <v>180</v>
      </c>
      <c r="T6" s="47" t="s">
        <v>178</v>
      </c>
      <c r="U6" s="47" t="s">
        <v>180</v>
      </c>
      <c r="V6" s="47" t="s">
        <v>181</v>
      </c>
      <c r="W6" s="47" t="s">
        <v>182</v>
      </c>
    </row>
    <row r="7" spans="1:23" x14ac:dyDescent="0.35">
      <c r="A7" s="46" t="s">
        <v>174</v>
      </c>
      <c r="B7" s="5" t="str">
        <f>HLOOKUP(B6,$D$14:$J$15,2,FALSE)</f>
        <v>NOTE BOOK SPEEDY I</v>
      </c>
      <c r="C7" s="5" t="str">
        <f t="shared" ref="C7:W7" si="0">HLOOKUP(C6,$D$14:$J$15,2,FALSE)</f>
        <v>NOTE BOOK SPEEDY II</v>
      </c>
      <c r="D7" s="5" t="str">
        <f t="shared" si="0"/>
        <v>NOTE BOOK SPEEDY I</v>
      </c>
      <c r="E7" s="5" t="str">
        <f t="shared" si="0"/>
        <v>PC THINK BOX</v>
      </c>
      <c r="F7" s="5" t="str">
        <f t="shared" si="0"/>
        <v>IPHONES PXL</v>
      </c>
      <c r="G7" s="5" t="str">
        <f t="shared" si="0"/>
        <v>USB ADAPTOR</v>
      </c>
      <c r="H7" s="5" t="str">
        <f t="shared" si="0"/>
        <v>SAMSUNG CHARGER</v>
      </c>
      <c r="I7" s="5" t="str">
        <f t="shared" si="0"/>
        <v>NOTE BOOK SPEEDY I</v>
      </c>
      <c r="J7" s="5" t="str">
        <f t="shared" si="0"/>
        <v>NOTE BOOK SPEEDY II</v>
      </c>
      <c r="K7" s="5" t="str">
        <f t="shared" si="0"/>
        <v>NOTE BOOK SPEEDY I</v>
      </c>
      <c r="L7" s="5" t="str">
        <f t="shared" si="0"/>
        <v>PC THINK BOX</v>
      </c>
      <c r="M7" s="5" t="str">
        <f t="shared" si="0"/>
        <v>IPHONES PXL</v>
      </c>
      <c r="N7" s="5" t="str">
        <f t="shared" si="0"/>
        <v>USB ADAPTOR</v>
      </c>
      <c r="O7" s="5" t="str">
        <f t="shared" si="0"/>
        <v>SAMSUNG CHARGER</v>
      </c>
      <c r="P7" s="5" t="str">
        <f t="shared" si="0"/>
        <v>NOTE BOOK SPEEDY I</v>
      </c>
      <c r="Q7" s="5" t="str">
        <f t="shared" si="0"/>
        <v>NOTE BOOK SPEEDY II</v>
      </c>
      <c r="R7" s="5" t="str">
        <f t="shared" si="0"/>
        <v>NOTE BOOK SPEEDY I</v>
      </c>
      <c r="S7" s="5" t="str">
        <f t="shared" si="0"/>
        <v>PC THINK BOX</v>
      </c>
      <c r="T7" s="5" t="str">
        <f t="shared" si="0"/>
        <v>NOTE BOOK SPEEDY I</v>
      </c>
      <c r="U7" s="5" t="str">
        <f t="shared" si="0"/>
        <v>PC THINK BOX</v>
      </c>
      <c r="V7" s="5" t="str">
        <f t="shared" si="0"/>
        <v>IPHONES PXL</v>
      </c>
      <c r="W7" s="5" t="str">
        <f t="shared" si="0"/>
        <v>USB ADAPTOR</v>
      </c>
    </row>
    <row r="8" spans="1:23" x14ac:dyDescent="0.35">
      <c r="A8" s="46" t="s">
        <v>175</v>
      </c>
      <c r="B8" s="47">
        <v>7389</v>
      </c>
      <c r="C8" s="47">
        <v>2654</v>
      </c>
      <c r="D8" s="47">
        <v>1214</v>
      </c>
      <c r="E8" s="47">
        <v>6665</v>
      </c>
      <c r="F8" s="47">
        <v>1425</v>
      </c>
      <c r="G8" s="47">
        <v>2124</v>
      </c>
      <c r="H8" s="47">
        <v>6587</v>
      </c>
      <c r="I8" s="47">
        <v>6958</v>
      </c>
      <c r="J8" s="47">
        <v>3652</v>
      </c>
      <c r="K8" s="47">
        <v>1215</v>
      </c>
      <c r="L8" s="47">
        <v>5847</v>
      </c>
      <c r="M8" s="47">
        <v>2687</v>
      </c>
      <c r="N8" s="47">
        <v>2013</v>
      </c>
      <c r="O8" s="47">
        <v>6547</v>
      </c>
      <c r="P8" s="47">
        <v>2013</v>
      </c>
      <c r="Q8" s="47">
        <v>6547</v>
      </c>
      <c r="R8" s="47">
        <v>5689</v>
      </c>
      <c r="S8" s="47">
        <v>6561</v>
      </c>
      <c r="T8" s="47">
        <v>6665</v>
      </c>
      <c r="U8" s="47">
        <v>1425</v>
      </c>
      <c r="V8" s="47">
        <v>2124</v>
      </c>
      <c r="W8" s="47">
        <v>6587</v>
      </c>
    </row>
    <row r="9" spans="1:23" x14ac:dyDescent="0.35">
      <c r="A9" s="46" t="s">
        <v>176</v>
      </c>
      <c r="B9" s="47">
        <v>39268</v>
      </c>
      <c r="C9" s="47">
        <v>39268</v>
      </c>
      <c r="D9" s="47">
        <v>39269</v>
      </c>
      <c r="E9" s="47">
        <v>39269</v>
      </c>
      <c r="F9" s="47">
        <v>39281</v>
      </c>
      <c r="G9" s="47">
        <v>39301</v>
      </c>
      <c r="H9" s="47">
        <v>39306</v>
      </c>
      <c r="I9" s="47">
        <v>39316</v>
      </c>
      <c r="J9" s="47">
        <v>39316</v>
      </c>
      <c r="K9" s="47">
        <v>39301</v>
      </c>
      <c r="L9" s="47">
        <v>39269</v>
      </c>
      <c r="M9" s="47">
        <v>39269</v>
      </c>
      <c r="N9" s="47">
        <v>39281</v>
      </c>
      <c r="O9" s="47">
        <v>39301</v>
      </c>
      <c r="P9" s="47">
        <v>39306</v>
      </c>
      <c r="Q9" s="47">
        <v>39316</v>
      </c>
      <c r="R9" s="47">
        <v>39316</v>
      </c>
      <c r="S9" s="47">
        <v>39281</v>
      </c>
      <c r="T9" s="47">
        <v>39268</v>
      </c>
      <c r="U9" s="47">
        <v>39281</v>
      </c>
      <c r="V9" s="47">
        <v>39306</v>
      </c>
      <c r="W9" s="47">
        <v>39316</v>
      </c>
    </row>
    <row r="10" spans="1:23" x14ac:dyDescent="0.35">
      <c r="A10" s="46" t="s">
        <v>177</v>
      </c>
      <c r="B10" s="5">
        <f>HLOOKUP('HLOOK UP'!B9,'HLOOK UP'!$E$19:$P$20,2,FALSE)</f>
        <v>39264</v>
      </c>
      <c r="C10" s="5">
        <f>HLOOKUP('HLOOK UP'!C9,'HLOOK UP'!$E$19:$P$20,2,FALSE)</f>
        <v>39264</v>
      </c>
      <c r="D10" s="5">
        <f>HLOOKUP('HLOOK UP'!D9,'HLOOK UP'!$E$19:$P$20,2,FALSE)</f>
        <v>39264</v>
      </c>
      <c r="E10" s="5">
        <f>HLOOKUP('HLOOK UP'!E9,'HLOOK UP'!$E$19:$P$20,2,FALSE)</f>
        <v>39264</v>
      </c>
      <c r="F10" s="5">
        <f>HLOOKUP('HLOOK UP'!F9,'HLOOK UP'!$E$19:$P$20,2,FALSE)</f>
        <v>39395</v>
      </c>
      <c r="G10" s="5">
        <f>HLOOKUP('HLOOK UP'!G9,'HLOOK UP'!$E$19:$P$20,2,FALSE)</f>
        <v>39295</v>
      </c>
      <c r="H10" s="5">
        <f>HLOOKUP('HLOOK UP'!H9,'HLOOK UP'!$E$19:$P$20,2,FALSE)</f>
        <v>39295</v>
      </c>
      <c r="I10" s="5">
        <f>HLOOKUP('HLOOK UP'!I9,'HLOOK UP'!$E$19:$P$20,2,FALSE)</f>
        <v>49485</v>
      </c>
      <c r="J10" s="5">
        <f>HLOOKUP('HLOOK UP'!J9,'HLOOK UP'!$E$19:$P$20,2,FALSE)</f>
        <v>49485</v>
      </c>
      <c r="K10" s="5">
        <f>HLOOKUP('HLOOK UP'!K9,'HLOOK UP'!$E$19:$P$20,2,FALSE)</f>
        <v>39295</v>
      </c>
      <c r="L10" s="5">
        <f>HLOOKUP('HLOOK UP'!L9,'HLOOK UP'!$E$19:$P$20,2,FALSE)</f>
        <v>39264</v>
      </c>
      <c r="M10" s="5">
        <f>HLOOKUP('HLOOK UP'!M9,'HLOOK UP'!$E$19:$P$20,2,FALSE)</f>
        <v>39264</v>
      </c>
      <c r="N10" s="5">
        <f>HLOOKUP('HLOOK UP'!N9,'HLOOK UP'!$E$19:$P$20,2,FALSE)</f>
        <v>39395</v>
      </c>
      <c r="O10" s="5">
        <f>HLOOKUP('HLOOK UP'!O9,'HLOOK UP'!$E$19:$P$20,2,FALSE)</f>
        <v>39295</v>
      </c>
      <c r="P10" s="5">
        <f>HLOOKUP('HLOOK UP'!P9,'HLOOK UP'!$E$19:$P$20,2,FALSE)</f>
        <v>39295</v>
      </c>
      <c r="Q10" s="5">
        <f>HLOOKUP('HLOOK UP'!Q9,'HLOOK UP'!$E$19:$P$20,2,FALSE)</f>
        <v>49485</v>
      </c>
      <c r="R10" s="5">
        <f>HLOOKUP('HLOOK UP'!R9,'HLOOK UP'!$E$19:$P$20,2,FALSE)</f>
        <v>49485</v>
      </c>
      <c r="S10" s="5">
        <f>HLOOKUP('HLOOK UP'!S9,'HLOOK UP'!$E$19:$P$20,2,FALSE)</f>
        <v>39395</v>
      </c>
      <c r="T10" s="5">
        <f>HLOOKUP('HLOOK UP'!T9,'HLOOK UP'!$E$19:$P$20,2,FALSE)</f>
        <v>39264</v>
      </c>
      <c r="U10" s="5">
        <f>HLOOKUP('HLOOK UP'!U9,'HLOOK UP'!$E$19:$P$20,2,FALSE)</f>
        <v>39395</v>
      </c>
      <c r="V10" s="5">
        <f>HLOOKUP('HLOOK UP'!V9,'HLOOK UP'!$E$19:$P$20,2,FALSE)</f>
        <v>39295</v>
      </c>
      <c r="W10" s="5">
        <f>HLOOKUP('HLOOK UP'!W9,'HLOOK UP'!$E$19:$P$20,2,FALSE)</f>
        <v>49485</v>
      </c>
    </row>
    <row r="14" spans="1:23" ht="18.5" x14ac:dyDescent="0.45">
      <c r="A14" s="49" t="s">
        <v>185</v>
      </c>
      <c r="C14" s="48" t="s">
        <v>186</v>
      </c>
      <c r="D14" s="36" t="s">
        <v>188</v>
      </c>
      <c r="E14" s="36" t="s">
        <v>190</v>
      </c>
      <c r="F14" s="36" t="s">
        <v>192</v>
      </c>
      <c r="G14" s="36" t="s">
        <v>194</v>
      </c>
      <c r="H14" s="36" t="s">
        <v>196</v>
      </c>
      <c r="I14" s="36" t="s">
        <v>198</v>
      </c>
      <c r="J14" s="36" t="s">
        <v>200</v>
      </c>
    </row>
    <row r="15" spans="1:23" ht="18.5" x14ac:dyDescent="0.45">
      <c r="A15" s="50"/>
      <c r="C15" s="48" t="s">
        <v>187</v>
      </c>
      <c r="D15" s="36" t="s">
        <v>189</v>
      </c>
      <c r="E15" s="36" t="s">
        <v>191</v>
      </c>
      <c r="F15" s="36" t="s">
        <v>193</v>
      </c>
      <c r="G15" s="36" t="s">
        <v>195</v>
      </c>
      <c r="H15" s="36" t="s">
        <v>197</v>
      </c>
      <c r="I15" s="36" t="s">
        <v>199</v>
      </c>
      <c r="J15" s="36" t="s">
        <v>201</v>
      </c>
    </row>
    <row r="19" spans="1:16" ht="18.5" x14ac:dyDescent="0.45">
      <c r="A19" s="49" t="s">
        <v>202</v>
      </c>
      <c r="D19" s="48" t="s">
        <v>203</v>
      </c>
      <c r="E19" s="36">
        <v>39268</v>
      </c>
      <c r="F19" s="36">
        <v>39269</v>
      </c>
      <c r="G19" s="36">
        <v>39274</v>
      </c>
      <c r="H19" s="36">
        <v>39300</v>
      </c>
      <c r="I19" s="36">
        <v>39301</v>
      </c>
      <c r="J19" s="36">
        <v>39306</v>
      </c>
      <c r="K19" s="36">
        <v>39300</v>
      </c>
      <c r="L19" s="36">
        <v>39301</v>
      </c>
      <c r="M19" s="36">
        <v>39306</v>
      </c>
      <c r="N19" s="36">
        <v>39309</v>
      </c>
      <c r="O19" s="70">
        <v>39281</v>
      </c>
      <c r="P19" s="70">
        <v>39316</v>
      </c>
    </row>
    <row r="20" spans="1:16" ht="18.5" x14ac:dyDescent="0.45">
      <c r="A20" s="50"/>
      <c r="D20" s="48" t="s">
        <v>204</v>
      </c>
      <c r="E20" s="36">
        <v>39264</v>
      </c>
      <c r="F20" s="36">
        <v>39264</v>
      </c>
      <c r="G20" s="36">
        <v>39264</v>
      </c>
      <c r="H20" s="36">
        <v>39295</v>
      </c>
      <c r="I20" s="36">
        <v>39295</v>
      </c>
      <c r="J20" s="36">
        <v>39295</v>
      </c>
      <c r="K20" s="36">
        <v>39295</v>
      </c>
      <c r="L20" s="36">
        <v>39295</v>
      </c>
      <c r="M20" s="36">
        <v>39295</v>
      </c>
      <c r="N20" s="36">
        <v>39295</v>
      </c>
      <c r="O20" s="70">
        <v>39395</v>
      </c>
      <c r="P20" s="70">
        <v>49485</v>
      </c>
    </row>
    <row r="27" spans="1:16" x14ac:dyDescent="0.35">
      <c r="B27" s="95" t="s">
        <v>276</v>
      </c>
      <c r="C27" s="95"/>
      <c r="D27" s="95"/>
      <c r="E27" s="95"/>
      <c r="F27" s="95"/>
      <c r="G27" s="95"/>
      <c r="H27" s="95"/>
    </row>
    <row r="28" spans="1:16" x14ac:dyDescent="0.35">
      <c r="B28" s="95"/>
      <c r="C28" s="95"/>
      <c r="D28" s="95"/>
      <c r="E28" s="95"/>
      <c r="F28" s="95"/>
      <c r="G28" s="95"/>
      <c r="H28" s="95"/>
    </row>
  </sheetData>
  <mergeCells count="2">
    <mergeCell ref="D1:E1"/>
    <mergeCell ref="B27:H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7"/>
  <sheetViews>
    <sheetView zoomScale="54" zoomScaleNormal="100" workbookViewId="0">
      <selection activeCell="AG3" sqref="AG3"/>
    </sheetView>
  </sheetViews>
  <sheetFormatPr defaultRowHeight="14.5" x14ac:dyDescent="0.35"/>
  <cols>
    <col min="1" max="1" width="7.26953125" bestFit="1" customWidth="1"/>
    <col min="2" max="2" width="5.7265625" bestFit="1" customWidth="1"/>
    <col min="3" max="3" width="5.453125" bestFit="1" customWidth="1"/>
    <col min="4" max="4" width="7" bestFit="1" customWidth="1"/>
    <col min="5" max="5" width="6" bestFit="1" customWidth="1"/>
    <col min="6" max="6" width="6.81640625" bestFit="1" customWidth="1"/>
    <col min="7" max="7" width="5.7265625" bestFit="1" customWidth="1"/>
    <col min="8" max="8" width="5" bestFit="1" customWidth="1"/>
    <col min="9" max="9" width="6.453125" bestFit="1" customWidth="1"/>
    <col min="10" max="10" width="5.26953125" bestFit="1" customWidth="1"/>
    <col min="11" max="11" width="5.81640625" bestFit="1" customWidth="1"/>
    <col min="12" max="12" width="6.54296875" bestFit="1" customWidth="1"/>
    <col min="13" max="13" width="5.7265625" bestFit="1" customWidth="1"/>
    <col min="14" max="14" width="8.54296875" bestFit="1" customWidth="1"/>
    <col min="15" max="15" width="12.1796875" bestFit="1" customWidth="1"/>
  </cols>
  <sheetData>
    <row r="1" spans="1:15" x14ac:dyDescent="0.35">
      <c r="A1" s="82" t="s">
        <v>207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3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</row>
    <row r="3" spans="1:15" ht="18.5" x14ac:dyDescent="0.45">
      <c r="A3" s="51" t="s">
        <v>205</v>
      </c>
      <c r="B3" s="51" t="s">
        <v>74</v>
      </c>
      <c r="C3" s="51" t="s">
        <v>75</v>
      </c>
      <c r="D3" s="51" t="s">
        <v>76</v>
      </c>
      <c r="E3" s="51" t="s">
        <v>77</v>
      </c>
      <c r="F3" s="51" t="s">
        <v>78</v>
      </c>
      <c r="G3" s="51" t="s">
        <v>79</v>
      </c>
      <c r="H3" s="51" t="s">
        <v>80</v>
      </c>
      <c r="I3" s="51" t="s">
        <v>81</v>
      </c>
      <c r="J3" s="51" t="s">
        <v>82</v>
      </c>
      <c r="K3" s="51" t="s">
        <v>83</v>
      </c>
      <c r="L3" s="51" t="s">
        <v>84</v>
      </c>
      <c r="M3" s="51" t="s">
        <v>85</v>
      </c>
      <c r="N3" s="51" t="s">
        <v>6</v>
      </c>
      <c r="O3" s="51" t="s">
        <v>206</v>
      </c>
    </row>
    <row r="4" spans="1:15" ht="18.5" hidden="1" x14ac:dyDescent="0.45">
      <c r="A4" s="52">
        <v>1988</v>
      </c>
      <c r="B4" s="52">
        <v>31</v>
      </c>
      <c r="C4" s="52">
        <v>29</v>
      </c>
      <c r="D4" s="52">
        <v>31</v>
      </c>
      <c r="E4" s="52">
        <v>30</v>
      </c>
      <c r="F4" s="52">
        <v>25</v>
      </c>
      <c r="G4" s="52">
        <v>31</v>
      </c>
      <c r="H4" s="52">
        <v>25</v>
      </c>
      <c r="I4" s="52">
        <v>30</v>
      </c>
      <c r="J4" s="52">
        <v>29</v>
      </c>
      <c r="K4" s="52">
        <v>31</v>
      </c>
      <c r="L4" s="52">
        <v>25</v>
      </c>
      <c r="M4" s="52">
        <v>30</v>
      </c>
      <c r="N4" s="5">
        <f>SUM(Table13[[#This Row],[JAN]:[DEC]])</f>
        <v>347</v>
      </c>
      <c r="O4" s="5">
        <f>AVERAGE(Table13[[#This Row],[JAN]:[DEC]])</f>
        <v>28.916666666666668</v>
      </c>
    </row>
    <row r="5" spans="1:15" ht="18.5" hidden="1" x14ac:dyDescent="0.45">
      <c r="A5" s="52">
        <v>1989</v>
      </c>
      <c r="B5" s="52">
        <v>31</v>
      </c>
      <c r="C5" s="52">
        <v>28</v>
      </c>
      <c r="D5" s="52">
        <v>31</v>
      </c>
      <c r="E5" s="52">
        <v>30</v>
      </c>
      <c r="F5" s="52">
        <v>26</v>
      </c>
      <c r="G5" s="52">
        <v>31</v>
      </c>
      <c r="H5" s="52">
        <v>26</v>
      </c>
      <c r="I5" s="52">
        <v>30</v>
      </c>
      <c r="J5" s="52">
        <v>28</v>
      </c>
      <c r="K5" s="52">
        <v>31</v>
      </c>
      <c r="L5" s="52">
        <v>26</v>
      </c>
      <c r="M5" s="52">
        <v>30</v>
      </c>
      <c r="N5" s="5">
        <f>SUM(Table13[[#This Row],[JAN]:[DEC]])</f>
        <v>348</v>
      </c>
      <c r="O5" s="5">
        <f>AVERAGE(Table13[[#This Row],[JAN]:[DEC]])</f>
        <v>29</v>
      </c>
    </row>
    <row r="6" spans="1:15" ht="18.5" hidden="1" x14ac:dyDescent="0.45">
      <c r="A6" s="52">
        <v>1990</v>
      </c>
      <c r="B6" s="52">
        <v>31</v>
      </c>
      <c r="C6" s="52">
        <v>29</v>
      </c>
      <c r="D6" s="52">
        <v>31</v>
      </c>
      <c r="E6" s="52">
        <v>30</v>
      </c>
      <c r="F6" s="52">
        <v>25</v>
      </c>
      <c r="G6" s="52">
        <v>31</v>
      </c>
      <c r="H6" s="52">
        <v>25</v>
      </c>
      <c r="I6" s="52">
        <v>30</v>
      </c>
      <c r="J6" s="52">
        <v>29</v>
      </c>
      <c r="K6" s="52">
        <v>31</v>
      </c>
      <c r="L6" s="52">
        <v>25</v>
      </c>
      <c r="M6" s="52">
        <v>30</v>
      </c>
      <c r="N6" s="5">
        <f>SUM(Table13[[#This Row],[JAN]:[DEC]])</f>
        <v>347</v>
      </c>
      <c r="O6" s="5">
        <f>AVERAGE(Table13[[#This Row],[JAN]:[DEC]])</f>
        <v>28.916666666666668</v>
      </c>
    </row>
    <row r="7" spans="1:15" ht="18.5" x14ac:dyDescent="0.45">
      <c r="A7" s="52">
        <v>1991</v>
      </c>
      <c r="B7" s="52">
        <v>31</v>
      </c>
      <c r="C7" s="52">
        <v>28</v>
      </c>
      <c r="D7" s="52">
        <v>31</v>
      </c>
      <c r="E7" s="52">
        <v>30</v>
      </c>
      <c r="F7" s="52">
        <v>26</v>
      </c>
      <c r="G7" s="52">
        <v>31</v>
      </c>
      <c r="H7" s="52">
        <v>26</v>
      </c>
      <c r="I7" s="52">
        <v>30</v>
      </c>
      <c r="J7" s="52">
        <v>28</v>
      </c>
      <c r="K7" s="52">
        <v>31</v>
      </c>
      <c r="L7" s="52">
        <v>26</v>
      </c>
      <c r="M7" s="52">
        <v>30</v>
      </c>
      <c r="N7" s="5">
        <f>SUM(Table13[[#This Row],[JAN]:[DEC]])</f>
        <v>348</v>
      </c>
      <c r="O7" s="5">
        <f>AVERAGE(Table13[[#This Row],[JAN]:[DEC]])</f>
        <v>29</v>
      </c>
    </row>
    <row r="8" spans="1:15" ht="18.5" hidden="1" x14ac:dyDescent="0.45">
      <c r="A8" s="52">
        <v>1992</v>
      </c>
      <c r="B8" s="52">
        <v>31</v>
      </c>
      <c r="C8" s="52">
        <v>29</v>
      </c>
      <c r="D8" s="52">
        <v>31</v>
      </c>
      <c r="E8" s="52">
        <v>30</v>
      </c>
      <c r="F8" s="52">
        <v>25</v>
      </c>
      <c r="G8" s="52">
        <v>31</v>
      </c>
      <c r="H8" s="52">
        <v>25</v>
      </c>
      <c r="I8" s="52">
        <v>30</v>
      </c>
      <c r="J8" s="52">
        <v>29</v>
      </c>
      <c r="K8" s="52">
        <v>31</v>
      </c>
      <c r="L8" s="52">
        <v>25</v>
      </c>
      <c r="M8" s="52">
        <v>30</v>
      </c>
      <c r="N8" s="5">
        <f>SUM(Table13[[#This Row],[JAN]:[DEC]])</f>
        <v>347</v>
      </c>
      <c r="O8" s="5">
        <f>AVERAGE(Table13[[#This Row],[JAN]:[DEC]])</f>
        <v>28.916666666666668</v>
      </c>
    </row>
    <row r="9" spans="1:15" ht="18.5" hidden="1" x14ac:dyDescent="0.45">
      <c r="A9" s="52">
        <v>1993</v>
      </c>
      <c r="B9" s="52">
        <v>31</v>
      </c>
      <c r="C9" s="52">
        <v>28</v>
      </c>
      <c r="D9" s="52">
        <v>31</v>
      </c>
      <c r="E9" s="52">
        <v>30</v>
      </c>
      <c r="F9" s="52">
        <v>26</v>
      </c>
      <c r="G9" s="52">
        <v>31</v>
      </c>
      <c r="H9" s="52">
        <v>26</v>
      </c>
      <c r="I9" s="52">
        <v>30</v>
      </c>
      <c r="J9" s="52">
        <v>28</v>
      </c>
      <c r="K9" s="52">
        <v>31</v>
      </c>
      <c r="L9" s="52">
        <v>26</v>
      </c>
      <c r="M9" s="52">
        <v>30</v>
      </c>
      <c r="N9" s="5">
        <f>SUM(Table13[[#This Row],[JAN]:[DEC]])</f>
        <v>348</v>
      </c>
      <c r="O9" s="5">
        <f>AVERAGE(Table13[[#This Row],[JAN]:[DEC]])</f>
        <v>29</v>
      </c>
    </row>
    <row r="10" spans="1:15" ht="18.5" hidden="1" x14ac:dyDescent="0.45">
      <c r="A10" s="52">
        <v>1994</v>
      </c>
      <c r="B10" s="52">
        <v>31</v>
      </c>
      <c r="C10" s="52">
        <v>29</v>
      </c>
      <c r="D10" s="52">
        <v>31</v>
      </c>
      <c r="E10" s="52">
        <v>30</v>
      </c>
      <c r="F10" s="52">
        <v>25</v>
      </c>
      <c r="G10" s="52">
        <v>31</v>
      </c>
      <c r="H10" s="52">
        <v>25</v>
      </c>
      <c r="I10" s="52">
        <v>30</v>
      </c>
      <c r="J10" s="52">
        <v>29</v>
      </c>
      <c r="K10" s="52">
        <v>31</v>
      </c>
      <c r="L10" s="52">
        <v>25</v>
      </c>
      <c r="M10" s="52">
        <v>30</v>
      </c>
      <c r="N10" s="5">
        <f>SUM(Table13[[#This Row],[JAN]:[DEC]])</f>
        <v>347</v>
      </c>
      <c r="O10" s="5">
        <f>AVERAGE(Table13[[#This Row],[JAN]:[DEC]])</f>
        <v>28.916666666666668</v>
      </c>
    </row>
    <row r="11" spans="1:15" ht="18.5" hidden="1" x14ac:dyDescent="0.45">
      <c r="A11" s="52">
        <v>1995</v>
      </c>
      <c r="B11" s="52">
        <v>31</v>
      </c>
      <c r="C11" s="52">
        <v>28</v>
      </c>
      <c r="D11" s="52">
        <v>31</v>
      </c>
      <c r="E11" s="52">
        <v>30</v>
      </c>
      <c r="F11" s="52">
        <v>26</v>
      </c>
      <c r="G11" s="52">
        <v>31</v>
      </c>
      <c r="H11" s="52">
        <v>26</v>
      </c>
      <c r="I11" s="52">
        <v>30</v>
      </c>
      <c r="J11" s="52">
        <v>28</v>
      </c>
      <c r="K11" s="52">
        <v>31</v>
      </c>
      <c r="L11" s="52">
        <v>26</v>
      </c>
      <c r="M11" s="52">
        <v>30</v>
      </c>
      <c r="N11" s="5">
        <f>SUM(Table13[[#This Row],[JAN]:[DEC]])</f>
        <v>348</v>
      </c>
      <c r="O11" s="5">
        <f>AVERAGE(Table13[[#This Row],[JAN]:[DEC]])</f>
        <v>29</v>
      </c>
    </row>
    <row r="12" spans="1:15" ht="18.5" x14ac:dyDescent="0.45">
      <c r="A12" s="52">
        <v>1996</v>
      </c>
      <c r="B12" s="52">
        <v>31</v>
      </c>
      <c r="C12" s="52">
        <v>29</v>
      </c>
      <c r="D12" s="52">
        <v>31</v>
      </c>
      <c r="E12" s="52">
        <v>30</v>
      </c>
      <c r="F12" s="52">
        <v>25</v>
      </c>
      <c r="G12" s="52">
        <v>31</v>
      </c>
      <c r="H12" s="52">
        <v>25</v>
      </c>
      <c r="I12" s="52">
        <v>30</v>
      </c>
      <c r="J12" s="52">
        <v>29</v>
      </c>
      <c r="K12" s="52">
        <v>31</v>
      </c>
      <c r="L12" s="52">
        <v>25</v>
      </c>
      <c r="M12" s="52">
        <v>30</v>
      </c>
      <c r="N12" s="5">
        <f>SUM(Table13[[#This Row],[JAN]:[DEC]])</f>
        <v>347</v>
      </c>
      <c r="O12" s="5">
        <f>AVERAGE(Table13[[#This Row],[JAN]:[DEC]])</f>
        <v>28.916666666666668</v>
      </c>
    </row>
    <row r="13" spans="1:15" ht="18.5" x14ac:dyDescent="0.45">
      <c r="A13" s="52">
        <v>1997</v>
      </c>
      <c r="B13" s="52">
        <v>31</v>
      </c>
      <c r="C13" s="52">
        <v>28</v>
      </c>
      <c r="D13" s="52">
        <v>31</v>
      </c>
      <c r="E13" s="52">
        <v>30</v>
      </c>
      <c r="F13" s="52">
        <v>26</v>
      </c>
      <c r="G13" s="52">
        <v>31</v>
      </c>
      <c r="H13" s="52">
        <v>26</v>
      </c>
      <c r="I13" s="52">
        <v>30</v>
      </c>
      <c r="J13" s="52">
        <v>28</v>
      </c>
      <c r="K13" s="52">
        <v>31</v>
      </c>
      <c r="L13" s="52">
        <v>26</v>
      </c>
      <c r="M13" s="52">
        <v>30</v>
      </c>
      <c r="N13" s="5">
        <f>SUM(Table13[[#This Row],[JAN]:[DEC]])</f>
        <v>348</v>
      </c>
      <c r="O13" s="5">
        <f>AVERAGE(Table13[[#This Row],[JAN]:[DEC]])</f>
        <v>29</v>
      </c>
    </row>
    <row r="14" spans="1:15" ht="18.5" x14ac:dyDescent="0.45">
      <c r="A14" s="52">
        <v>1998</v>
      </c>
      <c r="B14" s="52">
        <v>31</v>
      </c>
      <c r="C14" s="52">
        <v>29</v>
      </c>
      <c r="D14" s="52">
        <v>31</v>
      </c>
      <c r="E14" s="52">
        <v>30</v>
      </c>
      <c r="F14" s="52">
        <v>25</v>
      </c>
      <c r="G14" s="52">
        <v>31</v>
      </c>
      <c r="H14" s="52">
        <v>25</v>
      </c>
      <c r="I14" s="52">
        <v>30</v>
      </c>
      <c r="J14" s="52">
        <v>29</v>
      </c>
      <c r="K14" s="52">
        <v>31</v>
      </c>
      <c r="L14" s="52">
        <v>25</v>
      </c>
      <c r="M14" s="52">
        <v>30</v>
      </c>
      <c r="N14" s="5">
        <f>SUM(Table13[[#This Row],[JAN]:[DEC]])</f>
        <v>347</v>
      </c>
      <c r="O14" s="5">
        <f>AVERAGE(Table13[[#This Row],[JAN]:[DEC]])</f>
        <v>28.916666666666668</v>
      </c>
    </row>
    <row r="15" spans="1:15" ht="18.5" x14ac:dyDescent="0.45">
      <c r="A15" s="52">
        <v>1999</v>
      </c>
      <c r="B15" s="52">
        <v>31</v>
      </c>
      <c r="C15" s="52">
        <v>28</v>
      </c>
      <c r="D15" s="52">
        <v>31</v>
      </c>
      <c r="E15" s="52">
        <v>30</v>
      </c>
      <c r="F15" s="52">
        <v>26</v>
      </c>
      <c r="G15" s="52">
        <v>31</v>
      </c>
      <c r="H15" s="52">
        <v>26</v>
      </c>
      <c r="I15" s="52">
        <v>30</v>
      </c>
      <c r="J15" s="52">
        <v>28</v>
      </c>
      <c r="K15" s="52">
        <v>31</v>
      </c>
      <c r="L15" s="52">
        <v>26</v>
      </c>
      <c r="M15" s="52">
        <v>30</v>
      </c>
      <c r="N15" s="5">
        <f>SUM(Table13[[#This Row],[JAN]:[DEC]])</f>
        <v>348</v>
      </c>
      <c r="O15" s="5">
        <f>AVERAGE(Table13[[#This Row],[JAN]:[DEC]])</f>
        <v>29</v>
      </c>
    </row>
    <row r="16" spans="1:15" ht="18.5" x14ac:dyDescent="0.45">
      <c r="A16" s="52">
        <v>2000</v>
      </c>
      <c r="B16" s="52">
        <v>31</v>
      </c>
      <c r="C16" s="52">
        <v>29</v>
      </c>
      <c r="D16" s="52">
        <v>31</v>
      </c>
      <c r="E16" s="52">
        <v>30</v>
      </c>
      <c r="F16" s="52">
        <v>25</v>
      </c>
      <c r="G16" s="52">
        <v>31</v>
      </c>
      <c r="H16" s="52">
        <v>25</v>
      </c>
      <c r="I16" s="52">
        <v>30</v>
      </c>
      <c r="J16" s="52">
        <v>29</v>
      </c>
      <c r="K16" s="52">
        <v>31</v>
      </c>
      <c r="L16" s="52">
        <v>25</v>
      </c>
      <c r="M16" s="52">
        <v>30</v>
      </c>
      <c r="N16" s="5">
        <f>SUM(Table13[[#This Row],[JAN]:[DEC]])</f>
        <v>347</v>
      </c>
      <c r="O16" s="5">
        <f>AVERAGE(Table13[[#This Row],[JAN]:[DEC]])</f>
        <v>28.916666666666668</v>
      </c>
    </row>
    <row r="17" spans="1:15" ht="18.5" x14ac:dyDescent="0.45">
      <c r="A17" s="52">
        <v>2001</v>
      </c>
      <c r="B17" s="52">
        <v>31</v>
      </c>
      <c r="C17" s="52">
        <v>28</v>
      </c>
      <c r="D17" s="52">
        <v>31</v>
      </c>
      <c r="E17" s="52">
        <v>30</v>
      </c>
      <c r="F17" s="52">
        <v>26</v>
      </c>
      <c r="G17" s="52">
        <v>31</v>
      </c>
      <c r="H17" s="52">
        <v>26</v>
      </c>
      <c r="I17" s="52">
        <v>30</v>
      </c>
      <c r="J17" s="52">
        <v>28</v>
      </c>
      <c r="K17" s="52">
        <v>31</v>
      </c>
      <c r="L17" s="52">
        <v>26</v>
      </c>
      <c r="M17" s="52">
        <v>30</v>
      </c>
      <c r="N17" s="5">
        <f>SUM(Table13[[#This Row],[JAN]:[DEC]])</f>
        <v>348</v>
      </c>
      <c r="O17" s="5">
        <f>AVERAGE(Table13[[#This Row],[JAN]:[DEC]])</f>
        <v>29</v>
      </c>
    </row>
    <row r="18" spans="1:15" ht="18.5" x14ac:dyDescent="0.45">
      <c r="A18" s="52">
        <v>2002</v>
      </c>
      <c r="B18" s="52">
        <v>31</v>
      </c>
      <c r="C18" s="52">
        <v>29</v>
      </c>
      <c r="D18" s="52">
        <v>31</v>
      </c>
      <c r="E18" s="52">
        <v>30</v>
      </c>
      <c r="F18" s="52">
        <v>25</v>
      </c>
      <c r="G18" s="52">
        <v>31</v>
      </c>
      <c r="H18" s="52">
        <v>25</v>
      </c>
      <c r="I18" s="52">
        <v>30</v>
      </c>
      <c r="J18" s="52">
        <v>29</v>
      </c>
      <c r="K18" s="52">
        <v>31</v>
      </c>
      <c r="L18" s="52">
        <v>25</v>
      </c>
      <c r="M18" s="52">
        <v>30</v>
      </c>
      <c r="N18" s="5">
        <f>SUM(Table13[[#This Row],[JAN]:[DEC]])</f>
        <v>347</v>
      </c>
      <c r="O18" s="5">
        <f>AVERAGE(Table13[[#This Row],[JAN]:[DEC]])</f>
        <v>28.916666666666668</v>
      </c>
    </row>
    <row r="19" spans="1:15" ht="18.5" x14ac:dyDescent="0.45">
      <c r="A19" s="52">
        <v>2003</v>
      </c>
      <c r="B19" s="52">
        <v>31</v>
      </c>
      <c r="C19" s="52">
        <v>28</v>
      </c>
      <c r="D19" s="52">
        <v>31</v>
      </c>
      <c r="E19" s="52">
        <v>30</v>
      </c>
      <c r="F19" s="52">
        <v>26</v>
      </c>
      <c r="G19" s="52">
        <v>31</v>
      </c>
      <c r="H19" s="52">
        <v>26</v>
      </c>
      <c r="I19" s="52">
        <v>30</v>
      </c>
      <c r="J19" s="52">
        <v>28</v>
      </c>
      <c r="K19" s="52">
        <v>31</v>
      </c>
      <c r="L19" s="52">
        <v>26</v>
      </c>
      <c r="M19" s="52">
        <v>30</v>
      </c>
      <c r="N19" s="5">
        <f>SUM(Table13[[#This Row],[JAN]:[DEC]])</f>
        <v>348</v>
      </c>
      <c r="O19" s="5">
        <f>AVERAGE(Table13[[#This Row],[JAN]:[DEC]])</f>
        <v>29</v>
      </c>
    </row>
    <row r="20" spans="1:15" ht="18.5" x14ac:dyDescent="0.45">
      <c r="A20" s="52">
        <v>2004</v>
      </c>
      <c r="B20" s="52">
        <v>31</v>
      </c>
      <c r="C20" s="52">
        <v>29</v>
      </c>
      <c r="D20" s="52">
        <v>31</v>
      </c>
      <c r="E20" s="52">
        <v>30</v>
      </c>
      <c r="F20" s="52">
        <v>25</v>
      </c>
      <c r="G20" s="52">
        <v>31</v>
      </c>
      <c r="H20" s="52">
        <v>25</v>
      </c>
      <c r="I20" s="52">
        <v>30</v>
      </c>
      <c r="J20" s="52">
        <v>29</v>
      </c>
      <c r="K20" s="52">
        <v>31</v>
      </c>
      <c r="L20" s="52">
        <v>25</v>
      </c>
      <c r="M20" s="52">
        <v>30</v>
      </c>
      <c r="N20" s="5">
        <f>SUM(Table13[[#This Row],[JAN]:[DEC]])</f>
        <v>347</v>
      </c>
      <c r="O20" s="5">
        <f>AVERAGE(Table13[[#This Row],[JAN]:[DEC]])</f>
        <v>28.916666666666668</v>
      </c>
    </row>
    <row r="21" spans="1:15" ht="18.5" x14ac:dyDescent="0.45">
      <c r="A21" s="52">
        <v>2005</v>
      </c>
      <c r="B21" s="52">
        <v>31</v>
      </c>
      <c r="C21" s="52">
        <v>28</v>
      </c>
      <c r="D21" s="52">
        <v>31</v>
      </c>
      <c r="E21" s="52">
        <v>30</v>
      </c>
      <c r="F21" s="52">
        <v>26</v>
      </c>
      <c r="G21" s="52">
        <v>31</v>
      </c>
      <c r="H21" s="52">
        <v>26</v>
      </c>
      <c r="I21" s="52">
        <v>30</v>
      </c>
      <c r="J21" s="52">
        <v>28</v>
      </c>
      <c r="K21" s="52">
        <v>31</v>
      </c>
      <c r="L21" s="52">
        <v>26</v>
      </c>
      <c r="M21" s="52">
        <v>30</v>
      </c>
      <c r="N21" s="5">
        <f>SUM(Table13[[#This Row],[JAN]:[DEC]])</f>
        <v>348</v>
      </c>
      <c r="O21" s="5">
        <f>AVERAGE(Table13[[#This Row],[JAN]:[DEC]])</f>
        <v>29</v>
      </c>
    </row>
    <row r="22" spans="1:15" ht="18.5" x14ac:dyDescent="0.45">
      <c r="A22" s="52">
        <v>2006</v>
      </c>
      <c r="B22" s="52">
        <v>31</v>
      </c>
      <c r="C22" s="52">
        <v>29</v>
      </c>
      <c r="D22" s="52">
        <v>31</v>
      </c>
      <c r="E22" s="52">
        <v>30</v>
      </c>
      <c r="F22" s="52">
        <v>25</v>
      </c>
      <c r="G22" s="52">
        <v>31</v>
      </c>
      <c r="H22" s="52">
        <v>25</v>
      </c>
      <c r="I22" s="52">
        <v>30</v>
      </c>
      <c r="J22" s="52">
        <v>29</v>
      </c>
      <c r="K22" s="52">
        <v>31</v>
      </c>
      <c r="L22" s="52">
        <v>25</v>
      </c>
      <c r="M22" s="52">
        <v>30</v>
      </c>
      <c r="N22" s="5">
        <f>SUM(Table13[[#This Row],[JAN]:[DEC]])</f>
        <v>347</v>
      </c>
      <c r="O22" s="5">
        <f>AVERAGE(Table13[[#This Row],[JAN]:[DEC]])</f>
        <v>28.916666666666668</v>
      </c>
    </row>
    <row r="23" spans="1:15" ht="18.5" x14ac:dyDescent="0.45">
      <c r="A23" s="52">
        <v>2007</v>
      </c>
      <c r="B23" s="52">
        <v>31</v>
      </c>
      <c r="C23" s="52">
        <v>28</v>
      </c>
      <c r="D23" s="52">
        <v>31</v>
      </c>
      <c r="E23" s="52">
        <v>30</v>
      </c>
      <c r="F23" s="52">
        <v>26</v>
      </c>
      <c r="G23" s="52">
        <v>31</v>
      </c>
      <c r="H23" s="52">
        <v>26</v>
      </c>
      <c r="I23" s="52">
        <v>30</v>
      </c>
      <c r="J23" s="52">
        <v>28</v>
      </c>
      <c r="K23" s="52">
        <v>31</v>
      </c>
      <c r="L23" s="52">
        <v>26</v>
      </c>
      <c r="M23" s="52">
        <v>30</v>
      </c>
      <c r="N23" s="5">
        <f>SUM(Table13[[#This Row],[JAN]:[DEC]])</f>
        <v>348</v>
      </c>
      <c r="O23" s="5">
        <f>AVERAGE(Table13[[#This Row],[JAN]:[DEC]])</f>
        <v>29</v>
      </c>
    </row>
    <row r="24" spans="1:15" ht="18.5" x14ac:dyDescent="0.45">
      <c r="A24" s="52">
        <v>2008</v>
      </c>
      <c r="B24" s="52">
        <v>31</v>
      </c>
      <c r="C24" s="52">
        <v>29</v>
      </c>
      <c r="D24" s="52">
        <v>31</v>
      </c>
      <c r="E24" s="52">
        <v>30</v>
      </c>
      <c r="F24" s="52">
        <v>25</v>
      </c>
      <c r="G24" s="52">
        <v>31</v>
      </c>
      <c r="H24" s="52">
        <v>25</v>
      </c>
      <c r="I24" s="52">
        <v>30</v>
      </c>
      <c r="J24" s="52">
        <v>29</v>
      </c>
      <c r="K24" s="52">
        <v>31</v>
      </c>
      <c r="L24" s="52">
        <v>25</v>
      </c>
      <c r="M24" s="52">
        <v>30</v>
      </c>
      <c r="N24" s="5">
        <f>SUM(Table13[[#This Row],[JAN]:[DEC]])</f>
        <v>347</v>
      </c>
      <c r="O24" s="5">
        <f>AVERAGE(Table13[[#This Row],[JAN]:[DEC]])</f>
        <v>28.916666666666668</v>
      </c>
    </row>
    <row r="25" spans="1:15" ht="18.5" x14ac:dyDescent="0.45">
      <c r="A25" s="52">
        <v>2009</v>
      </c>
      <c r="B25" s="52">
        <v>31</v>
      </c>
      <c r="C25" s="52">
        <v>28</v>
      </c>
      <c r="D25" s="52">
        <v>31</v>
      </c>
      <c r="E25" s="52">
        <v>30</v>
      </c>
      <c r="F25" s="52">
        <v>26</v>
      </c>
      <c r="G25" s="52">
        <v>31</v>
      </c>
      <c r="H25" s="52">
        <v>26</v>
      </c>
      <c r="I25" s="52">
        <v>30</v>
      </c>
      <c r="J25" s="52">
        <v>28</v>
      </c>
      <c r="K25" s="52">
        <v>31</v>
      </c>
      <c r="L25" s="52">
        <v>26</v>
      </c>
      <c r="M25" s="52">
        <v>30</v>
      </c>
      <c r="N25" s="5">
        <f>SUM(Table13[[#This Row],[JAN]:[DEC]])</f>
        <v>348</v>
      </c>
      <c r="O25" s="5">
        <f>AVERAGE(Table13[[#This Row],[JAN]:[DEC]])</f>
        <v>29</v>
      </c>
    </row>
    <row r="26" spans="1:15" ht="18.5" x14ac:dyDescent="0.45">
      <c r="A26" s="52">
        <v>2010</v>
      </c>
      <c r="B26" s="52">
        <v>31</v>
      </c>
      <c r="C26" s="52">
        <v>29</v>
      </c>
      <c r="D26" s="52">
        <v>31</v>
      </c>
      <c r="E26" s="52">
        <v>30</v>
      </c>
      <c r="F26" s="52">
        <v>25</v>
      </c>
      <c r="G26" s="52">
        <v>31</v>
      </c>
      <c r="H26" s="52">
        <v>25</v>
      </c>
      <c r="I26" s="52">
        <v>30</v>
      </c>
      <c r="J26" s="52">
        <v>29</v>
      </c>
      <c r="K26" s="52">
        <v>31</v>
      </c>
      <c r="L26" s="52">
        <v>25</v>
      </c>
      <c r="M26" s="52">
        <v>30</v>
      </c>
      <c r="N26" s="5">
        <f>SUM(Table13[[#This Row],[JAN]:[DEC]])</f>
        <v>347</v>
      </c>
      <c r="O26" s="5">
        <f>AVERAGE(Table13[[#This Row],[JAN]:[DEC]])</f>
        <v>28.916666666666668</v>
      </c>
    </row>
    <row r="27" spans="1:15" ht="18.5" x14ac:dyDescent="0.45">
      <c r="A27" s="52">
        <v>2011</v>
      </c>
      <c r="B27" s="52">
        <v>31</v>
      </c>
      <c r="C27" s="52">
        <v>28</v>
      </c>
      <c r="D27" s="52">
        <v>31</v>
      </c>
      <c r="E27" s="52">
        <v>30</v>
      </c>
      <c r="F27" s="52">
        <v>26</v>
      </c>
      <c r="G27" s="52">
        <v>31</v>
      </c>
      <c r="H27" s="52">
        <v>26</v>
      </c>
      <c r="I27" s="52">
        <v>30</v>
      </c>
      <c r="J27" s="52">
        <v>28</v>
      </c>
      <c r="K27" s="52">
        <v>31</v>
      </c>
      <c r="L27" s="52">
        <v>26</v>
      </c>
      <c r="M27" s="52">
        <v>30</v>
      </c>
      <c r="N27" s="5">
        <f>SUM(Table13[[#This Row],[JAN]:[DEC]])</f>
        <v>348</v>
      </c>
      <c r="O27" s="5">
        <f>AVERAGE(Table13[[#This Row],[JAN]:[DEC]])</f>
        <v>29</v>
      </c>
    </row>
    <row r="28" spans="1:15" ht="18.5" x14ac:dyDescent="0.45">
      <c r="A28" s="52">
        <v>2012</v>
      </c>
      <c r="B28" s="52">
        <v>31</v>
      </c>
      <c r="C28" s="52">
        <v>29</v>
      </c>
      <c r="D28" s="52">
        <v>31</v>
      </c>
      <c r="E28" s="52">
        <v>30</v>
      </c>
      <c r="F28" s="52">
        <v>25</v>
      </c>
      <c r="G28" s="52">
        <v>31</v>
      </c>
      <c r="H28" s="52">
        <v>25</v>
      </c>
      <c r="I28" s="52">
        <v>30</v>
      </c>
      <c r="J28" s="52">
        <v>29</v>
      </c>
      <c r="K28" s="52">
        <v>31</v>
      </c>
      <c r="L28" s="52">
        <v>25</v>
      </c>
      <c r="M28" s="52">
        <v>30</v>
      </c>
      <c r="N28" s="5">
        <f>SUM(Table13[[#This Row],[JAN]:[DEC]])</f>
        <v>347</v>
      </c>
      <c r="O28" s="5">
        <f>AVERAGE(Table13[[#This Row],[JAN]:[DEC]])</f>
        <v>28.916666666666668</v>
      </c>
    </row>
    <row r="29" spans="1:15" ht="18.5" x14ac:dyDescent="0.45">
      <c r="A29" s="52">
        <v>2013</v>
      </c>
      <c r="B29" s="52">
        <v>31</v>
      </c>
      <c r="C29" s="52">
        <v>28</v>
      </c>
      <c r="D29" s="52">
        <v>31</v>
      </c>
      <c r="E29" s="52">
        <v>30</v>
      </c>
      <c r="F29" s="52">
        <v>26</v>
      </c>
      <c r="G29" s="52">
        <v>31</v>
      </c>
      <c r="H29" s="52">
        <v>26</v>
      </c>
      <c r="I29" s="52">
        <v>30</v>
      </c>
      <c r="J29" s="52">
        <v>28</v>
      </c>
      <c r="K29" s="52">
        <v>31</v>
      </c>
      <c r="L29" s="52">
        <v>26</v>
      </c>
      <c r="M29" s="52">
        <v>30</v>
      </c>
      <c r="N29" s="5">
        <f>SUM(Table13[[#This Row],[JAN]:[DEC]])</f>
        <v>348</v>
      </c>
      <c r="O29" s="5">
        <f>AVERAGE(Table13[[#This Row],[JAN]:[DEC]])</f>
        <v>29</v>
      </c>
    </row>
    <row r="30" spans="1:15" ht="18.5" x14ac:dyDescent="0.45">
      <c r="A30" s="53">
        <v>2014</v>
      </c>
      <c r="B30" s="53">
        <v>31</v>
      </c>
      <c r="C30" s="53">
        <v>29</v>
      </c>
      <c r="D30" s="53">
        <v>31</v>
      </c>
      <c r="E30" s="53">
        <v>30</v>
      </c>
      <c r="F30" s="53">
        <v>25</v>
      </c>
      <c r="G30" s="53">
        <v>31</v>
      </c>
      <c r="H30" s="53">
        <v>25</v>
      </c>
      <c r="I30" s="53">
        <v>30</v>
      </c>
      <c r="J30" s="53">
        <v>29</v>
      </c>
      <c r="K30" s="53">
        <v>31</v>
      </c>
      <c r="L30" s="53">
        <v>25</v>
      </c>
      <c r="M30" s="53">
        <v>30</v>
      </c>
      <c r="N30" s="5">
        <f>SUM(Table13[[#This Row],[JAN]:[DEC]])</f>
        <v>347</v>
      </c>
      <c r="O30" s="5">
        <f>AVERAGE(Table13[[#This Row],[JAN]:[DEC]])</f>
        <v>28.916666666666668</v>
      </c>
    </row>
    <row r="31" spans="1:15" ht="18.5" x14ac:dyDescent="0.45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spans="1:15" ht="18.5" x14ac:dyDescent="0.4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spans="1:13" ht="18.5" x14ac:dyDescent="0.45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spans="1:13" ht="18.5" x14ac:dyDescent="0.4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3" ht="18.5" x14ac:dyDescent="0.4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spans="1:13" ht="18.5" x14ac:dyDescent="0.45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spans="1:13" ht="18.5" x14ac:dyDescent="0.45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spans="1:13" ht="18.5" x14ac:dyDescent="0.45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spans="1:13" ht="18.5" x14ac:dyDescent="0.45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spans="1:13" ht="18.5" x14ac:dyDescent="0.4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18.5" x14ac:dyDescent="0.4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spans="1:13" ht="18.5" x14ac:dyDescent="0.4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3" ht="18.5" x14ac:dyDescent="0.4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3" ht="18.5" x14ac:dyDescent="0.4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spans="1:13" ht="18.5" x14ac:dyDescent="0.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spans="1:13" ht="18.5" x14ac:dyDescent="0.4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spans="1:13" ht="18.5" x14ac:dyDescent="0.4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spans="1:13" ht="18.5" x14ac:dyDescent="0.4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spans="1:13" ht="18.5" x14ac:dyDescent="0.4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spans="1:13" ht="18.5" x14ac:dyDescent="0.4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spans="1:13" ht="18.5" x14ac:dyDescent="0.4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1:13" ht="18.5" x14ac:dyDescent="0.4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spans="1:13" ht="18.5" x14ac:dyDescent="0.4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spans="1:13" ht="18.5" x14ac:dyDescent="0.4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spans="1:13" ht="18.5" x14ac:dyDescent="0.4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spans="1:13" ht="18.5" x14ac:dyDescent="0.4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spans="1:13" ht="18.5" x14ac:dyDescent="0.4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spans="1:13" ht="18.5" x14ac:dyDescent="0.4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spans="1:13" ht="18.5" x14ac:dyDescent="0.4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spans="1:13" ht="18.5" x14ac:dyDescent="0.4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spans="1:13" ht="18.5" x14ac:dyDescent="0.4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spans="1:13" ht="18.5" x14ac:dyDescent="0.4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spans="1:13" ht="18.5" x14ac:dyDescent="0.4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spans="1:13" ht="18.5" x14ac:dyDescent="0.4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spans="1:13" ht="18.5" x14ac:dyDescent="0.4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spans="1:13" ht="18.5" x14ac:dyDescent="0.4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spans="1:13" ht="18.5" x14ac:dyDescent="0.45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spans="1:13" ht="18.5" x14ac:dyDescent="0.45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spans="1:13" ht="18.5" x14ac:dyDescent="0.45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spans="1:13" ht="18.5" x14ac:dyDescent="0.45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spans="1:13" ht="18.5" x14ac:dyDescent="0.45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spans="1:13" ht="18.5" x14ac:dyDescent="0.45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spans="1:13" ht="18.5" x14ac:dyDescent="0.45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spans="1:13" ht="18.5" x14ac:dyDescent="0.45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spans="1:13" ht="18.5" x14ac:dyDescent="0.4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spans="1:13" ht="18.5" x14ac:dyDescent="0.45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spans="1:13" ht="18.5" x14ac:dyDescent="0.45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spans="1:13" ht="18.5" x14ac:dyDescent="0.45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spans="1:13" ht="18.5" x14ac:dyDescent="0.45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spans="1:13" ht="18.5" x14ac:dyDescent="0.45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spans="1:13" ht="18.5" x14ac:dyDescent="0.45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spans="1:13" ht="18.5" x14ac:dyDescent="0.45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spans="1:13" ht="18.5" x14ac:dyDescent="0.45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spans="1:13" ht="18.5" x14ac:dyDescent="0.45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spans="1:13" ht="18.5" x14ac:dyDescent="0.4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spans="1:13" ht="18.5" x14ac:dyDescent="0.45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spans="1:13" ht="18.5" x14ac:dyDescent="0.45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spans="1:13" ht="18.5" x14ac:dyDescent="0.45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spans="1:13" ht="18.5" x14ac:dyDescent="0.45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spans="1:13" ht="18.5" x14ac:dyDescent="0.45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spans="1:13" ht="18.5" x14ac:dyDescent="0.4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spans="1:13" ht="18.5" x14ac:dyDescent="0.4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spans="1:13" ht="18.5" x14ac:dyDescent="0.45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spans="1:13" ht="18.5" x14ac:dyDescent="0.45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spans="1:13" ht="18.5" x14ac:dyDescent="0.4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spans="1:13" ht="18.5" x14ac:dyDescent="0.45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spans="1:13" ht="18.5" x14ac:dyDescent="0.45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spans="1:13" ht="18.5" x14ac:dyDescent="0.45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spans="1:13" ht="18.5" x14ac:dyDescent="0.45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spans="1:13" ht="18.5" x14ac:dyDescent="0.45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spans="1:13" ht="18.5" x14ac:dyDescent="0.45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spans="1:13" ht="18.5" x14ac:dyDescent="0.45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spans="1:13" ht="18.5" x14ac:dyDescent="0.45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spans="1:13" ht="18.5" x14ac:dyDescent="0.4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spans="1:13" ht="18.5" x14ac:dyDescent="0.4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spans="1:13" ht="18.5" x14ac:dyDescent="0.45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spans="1:13" ht="18.5" x14ac:dyDescent="0.45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spans="1:13" ht="18.5" x14ac:dyDescent="0.45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spans="1:13" ht="18.5" x14ac:dyDescent="0.45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spans="1:13" ht="18.5" x14ac:dyDescent="0.45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spans="1:13" ht="18.5" x14ac:dyDescent="0.45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spans="1:13" ht="18.5" x14ac:dyDescent="0.45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</row>
    <row r="113" spans="1:13" ht="18.5" x14ac:dyDescent="0.45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</row>
    <row r="114" spans="1:13" ht="18.5" x14ac:dyDescent="0.45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</row>
    <row r="115" spans="1:13" ht="18.5" x14ac:dyDescent="0.4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 spans="1:13" ht="18.5" x14ac:dyDescent="0.45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</row>
    <row r="117" spans="1:13" ht="18.5" x14ac:dyDescent="0.45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</row>
    <row r="118" spans="1:13" ht="18.5" x14ac:dyDescent="0.45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spans="1:13" ht="18.5" x14ac:dyDescent="0.45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</row>
    <row r="120" spans="1:13" ht="18.5" x14ac:dyDescent="0.45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spans="1:13" ht="18.5" x14ac:dyDescent="0.45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</row>
    <row r="122" spans="1:13" ht="18.5" x14ac:dyDescent="0.45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spans="1:13" ht="18.5" x14ac:dyDescent="0.45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spans="1:13" ht="18.5" x14ac:dyDescent="0.45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spans="1:13" ht="18.5" x14ac:dyDescent="0.4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spans="1:13" ht="18.5" x14ac:dyDescent="0.45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spans="1:13" ht="18.5" x14ac:dyDescent="0.45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spans="1:13" ht="18.5" x14ac:dyDescent="0.45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spans="1:13" ht="18.5" x14ac:dyDescent="0.45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spans="1:13" ht="18.5" x14ac:dyDescent="0.45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spans="1:13" ht="18.5" x14ac:dyDescent="0.45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spans="1:13" ht="18.5" x14ac:dyDescent="0.45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spans="1:13" ht="18.5" x14ac:dyDescent="0.45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spans="1:13" ht="18.5" x14ac:dyDescent="0.45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spans="1:13" ht="18.5" x14ac:dyDescent="0.4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spans="1:13" ht="18.5" x14ac:dyDescent="0.45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spans="1:13" ht="18.5" x14ac:dyDescent="0.45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spans="1:13" ht="18.5" x14ac:dyDescent="0.45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spans="1:13" ht="18.5" x14ac:dyDescent="0.45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spans="1:13" ht="18.5" x14ac:dyDescent="0.45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spans="1:13" ht="18.5" x14ac:dyDescent="0.45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spans="1:13" ht="18.5" x14ac:dyDescent="0.45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spans="1:13" ht="18.5" x14ac:dyDescent="0.45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spans="1:13" ht="18.5" x14ac:dyDescent="0.45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spans="1:13" ht="18.5" x14ac:dyDescent="0.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spans="1:13" ht="18.5" x14ac:dyDescent="0.45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</row>
    <row r="147" spans="1:13" ht="18.5" x14ac:dyDescent="0.45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spans="1:13" ht="18.5" x14ac:dyDescent="0.45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spans="1:13" ht="18.5" x14ac:dyDescent="0.45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spans="1:13" ht="18.5" x14ac:dyDescent="0.45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spans="1:13" ht="18.5" x14ac:dyDescent="0.45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spans="1:13" ht="18.5" x14ac:dyDescent="0.45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spans="1:13" ht="18.5" x14ac:dyDescent="0.45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spans="1:13" ht="18.5" x14ac:dyDescent="0.45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spans="1:13" ht="18.5" x14ac:dyDescent="0.4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spans="1:13" ht="18.5" x14ac:dyDescent="0.45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spans="1:13" ht="18.5" x14ac:dyDescent="0.45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spans="1:13" ht="18.5" x14ac:dyDescent="0.45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spans="1:13" ht="18.5" x14ac:dyDescent="0.45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spans="1:13" ht="18.5" x14ac:dyDescent="0.45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spans="1:13" ht="18.5" x14ac:dyDescent="0.45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spans="1:13" ht="18.5" x14ac:dyDescent="0.45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spans="1:13" ht="18.5" x14ac:dyDescent="0.45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spans="1:13" ht="18.5" x14ac:dyDescent="0.45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spans="1:13" ht="18.5" x14ac:dyDescent="0.4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spans="1:13" ht="18.5" x14ac:dyDescent="0.45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spans="1:13" ht="18.5" x14ac:dyDescent="0.45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spans="1:13" ht="18.5" x14ac:dyDescent="0.4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spans="1:13" ht="18.5" x14ac:dyDescent="0.45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spans="1:13" ht="18.5" x14ac:dyDescent="0.4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spans="1:13" ht="18.5" x14ac:dyDescent="0.4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</row>
    <row r="172" spans="1:13" ht="18.5" x14ac:dyDescent="0.45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1:13" ht="18.5" x14ac:dyDescent="0.45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1:13" ht="18.5" x14ac:dyDescent="0.45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1:13" ht="18.5" x14ac:dyDescent="0.4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1:13" ht="18.5" x14ac:dyDescent="0.45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1:13" ht="18.5" x14ac:dyDescent="0.45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spans="1:13" ht="18.5" x14ac:dyDescent="0.45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</row>
    <row r="179" spans="1:13" ht="18.5" x14ac:dyDescent="0.45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spans="1:13" ht="18.5" x14ac:dyDescent="0.45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</row>
    <row r="181" spans="1:13" ht="18.5" x14ac:dyDescent="0.45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 spans="1:13" ht="18.5" x14ac:dyDescent="0.4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</row>
    <row r="183" spans="1:13" ht="18.5" x14ac:dyDescent="0.4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spans="1:13" ht="18.5" x14ac:dyDescent="0.45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</row>
    <row r="185" spans="1:13" ht="18.5" x14ac:dyDescent="0.4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 spans="1:13" ht="18.5" x14ac:dyDescent="0.4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</row>
    <row r="187" spans="1:13" ht="18.5" x14ac:dyDescent="0.4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</row>
    <row r="188" spans="1:13" ht="18.5" x14ac:dyDescent="0.45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</row>
    <row r="189" spans="1:13" ht="18.5" x14ac:dyDescent="0.45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</row>
    <row r="190" spans="1:13" ht="18.5" x14ac:dyDescent="0.45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</row>
    <row r="191" spans="1:13" ht="18.5" x14ac:dyDescent="0.45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</row>
    <row r="192" spans="1:13" ht="18.5" x14ac:dyDescent="0.45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</row>
    <row r="193" spans="1:13" ht="18.5" x14ac:dyDescent="0.45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</row>
    <row r="194" spans="1:13" ht="18.5" x14ac:dyDescent="0.45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</row>
    <row r="195" spans="1:13" ht="18.5" x14ac:dyDescent="0.4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</row>
    <row r="196" spans="1:13" ht="18.5" x14ac:dyDescent="0.45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</row>
    <row r="197" spans="1:13" ht="18.5" x14ac:dyDescent="0.45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</row>
    <row r="198" spans="1:13" ht="18.5" x14ac:dyDescent="0.45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</row>
    <row r="199" spans="1:13" ht="18.5" x14ac:dyDescent="0.45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</row>
    <row r="200" spans="1:13" ht="18.5" x14ac:dyDescent="0.45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</row>
    <row r="201" spans="1:13" ht="18.5" x14ac:dyDescent="0.45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</row>
    <row r="202" spans="1:13" ht="18.5" x14ac:dyDescent="0.45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</row>
    <row r="203" spans="1:13" ht="18.5" x14ac:dyDescent="0.45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</row>
    <row r="204" spans="1:13" ht="18.5" x14ac:dyDescent="0.45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</row>
    <row r="205" spans="1:13" ht="18.5" x14ac:dyDescent="0.4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</row>
    <row r="206" spans="1:13" ht="18.5" x14ac:dyDescent="0.45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</row>
    <row r="207" spans="1:13" ht="18.5" x14ac:dyDescent="0.45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</row>
    <row r="208" spans="1:13" ht="18.5" x14ac:dyDescent="0.45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</row>
    <row r="209" spans="1:13" ht="18.5" x14ac:dyDescent="0.45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</row>
    <row r="210" spans="1:13" ht="18.5" x14ac:dyDescent="0.45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</row>
    <row r="211" spans="1:13" ht="18.5" x14ac:dyDescent="0.45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</row>
    <row r="212" spans="1:13" ht="18.5" x14ac:dyDescent="0.45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</row>
    <row r="213" spans="1:13" ht="18.5" x14ac:dyDescent="0.45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</row>
    <row r="214" spans="1:13" ht="18.5" x14ac:dyDescent="0.45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</row>
    <row r="215" spans="1:13" ht="18.5" x14ac:dyDescent="0.4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</row>
    <row r="216" spans="1:13" ht="18.5" x14ac:dyDescent="0.45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</row>
    <row r="217" spans="1:13" ht="18.5" x14ac:dyDescent="0.45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</row>
    <row r="218" spans="1:13" ht="18.5" x14ac:dyDescent="0.45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</row>
    <row r="219" spans="1:13" ht="18.5" x14ac:dyDescent="0.45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</row>
    <row r="220" spans="1:13" ht="18.5" x14ac:dyDescent="0.45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</row>
    <row r="221" spans="1:13" ht="18.5" x14ac:dyDescent="0.45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</row>
    <row r="222" spans="1:13" ht="18.5" x14ac:dyDescent="0.45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</row>
    <row r="223" spans="1:13" ht="18.5" x14ac:dyDescent="0.45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</row>
    <row r="224" spans="1:13" ht="18.5" x14ac:dyDescent="0.45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</row>
    <row r="225" spans="1:13" ht="18.5" x14ac:dyDescent="0.4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</row>
    <row r="226" spans="1:13" ht="18.5" x14ac:dyDescent="0.45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</row>
    <row r="227" spans="1:13" ht="18.5" x14ac:dyDescent="0.45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</row>
    <row r="228" spans="1:13" ht="18.5" x14ac:dyDescent="0.45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</row>
    <row r="229" spans="1:13" ht="18.5" x14ac:dyDescent="0.45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</row>
    <row r="230" spans="1:13" ht="18.5" x14ac:dyDescent="0.45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</row>
    <row r="231" spans="1:13" ht="18.5" x14ac:dyDescent="0.45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</row>
    <row r="232" spans="1:13" ht="18.5" x14ac:dyDescent="0.45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</row>
    <row r="233" spans="1:13" ht="18.5" x14ac:dyDescent="0.45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</row>
    <row r="234" spans="1:13" ht="18.5" x14ac:dyDescent="0.45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</row>
    <row r="235" spans="1:13" ht="18.5" x14ac:dyDescent="0.4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</row>
    <row r="236" spans="1:13" ht="18.5" x14ac:dyDescent="0.45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</row>
    <row r="237" spans="1:13" ht="18.5" x14ac:dyDescent="0.45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</row>
    <row r="238" spans="1:13" ht="18.5" x14ac:dyDescent="0.45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</row>
    <row r="239" spans="1:13" ht="18.5" x14ac:dyDescent="0.45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</row>
    <row r="240" spans="1:13" ht="18.5" x14ac:dyDescent="0.45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</row>
    <row r="241" spans="1:13" ht="18.5" x14ac:dyDescent="0.45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</row>
    <row r="242" spans="1:13" ht="18.5" x14ac:dyDescent="0.45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</row>
    <row r="243" spans="1:13" ht="18.5" x14ac:dyDescent="0.45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</row>
    <row r="244" spans="1:13" ht="18.5" x14ac:dyDescent="0.45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</row>
    <row r="245" spans="1:13" ht="18.5" x14ac:dyDescent="0.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</row>
    <row r="246" spans="1:13" ht="18.5" x14ac:dyDescent="0.45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</row>
    <row r="247" spans="1:13" ht="18.5" x14ac:dyDescent="0.45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</row>
    <row r="248" spans="1:13" ht="18.5" x14ac:dyDescent="0.45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</row>
    <row r="249" spans="1:13" ht="18.5" x14ac:dyDescent="0.45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</row>
    <row r="250" spans="1:13" ht="18.5" x14ac:dyDescent="0.45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</row>
    <row r="251" spans="1:13" ht="18.5" x14ac:dyDescent="0.45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</row>
    <row r="252" spans="1:13" ht="18.5" x14ac:dyDescent="0.45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</row>
    <row r="253" spans="1:13" ht="18.5" x14ac:dyDescent="0.45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</row>
    <row r="254" spans="1:13" ht="18.5" x14ac:dyDescent="0.45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</row>
    <row r="255" spans="1:13" ht="18.5" x14ac:dyDescent="0.4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</row>
    <row r="256" spans="1:13" ht="18.5" x14ac:dyDescent="0.45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</row>
    <row r="257" spans="1:13" ht="18.5" x14ac:dyDescent="0.45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</row>
    <row r="258" spans="1:13" ht="18.5" x14ac:dyDescent="0.45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</row>
    <row r="259" spans="1:13" ht="18.5" x14ac:dyDescent="0.45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</row>
    <row r="260" spans="1:13" ht="18.5" x14ac:dyDescent="0.45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</row>
    <row r="261" spans="1:13" ht="18.5" x14ac:dyDescent="0.45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</row>
    <row r="262" spans="1:13" ht="18.5" x14ac:dyDescent="0.45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</row>
    <row r="263" spans="1:13" ht="18.5" x14ac:dyDescent="0.45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</row>
    <row r="264" spans="1:13" ht="18.5" x14ac:dyDescent="0.45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</row>
    <row r="265" spans="1:13" ht="18.5" x14ac:dyDescent="0.4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</row>
    <row r="266" spans="1:13" ht="18.5" x14ac:dyDescent="0.45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</row>
    <row r="267" spans="1:13" ht="18.5" x14ac:dyDescent="0.45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</row>
    <row r="268" spans="1:13" ht="18.5" x14ac:dyDescent="0.45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</row>
    <row r="269" spans="1:13" ht="18.5" x14ac:dyDescent="0.45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</row>
    <row r="270" spans="1:13" ht="18.5" x14ac:dyDescent="0.45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</row>
    <row r="271" spans="1:13" ht="18.5" x14ac:dyDescent="0.45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</row>
    <row r="272" spans="1:13" ht="18.5" x14ac:dyDescent="0.45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</row>
    <row r="273" spans="1:13" ht="18.5" x14ac:dyDescent="0.45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</row>
    <row r="274" spans="1:13" ht="18.5" x14ac:dyDescent="0.45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</row>
    <row r="275" spans="1:13" ht="18.5" x14ac:dyDescent="0.4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</row>
    <row r="276" spans="1:13" ht="18.5" x14ac:dyDescent="0.45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</row>
    <row r="277" spans="1:13" ht="18.5" x14ac:dyDescent="0.45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</row>
    <row r="278" spans="1:13" ht="18.5" x14ac:dyDescent="0.45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</row>
    <row r="279" spans="1:13" ht="18.5" x14ac:dyDescent="0.45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</row>
    <row r="280" spans="1:13" ht="18.5" x14ac:dyDescent="0.45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</row>
    <row r="281" spans="1:13" ht="18.5" x14ac:dyDescent="0.45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</row>
    <row r="282" spans="1:13" ht="18.5" x14ac:dyDescent="0.45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</row>
    <row r="283" spans="1:13" ht="18.5" x14ac:dyDescent="0.45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</row>
    <row r="284" spans="1:13" ht="18.5" x14ac:dyDescent="0.45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</row>
    <row r="285" spans="1:13" ht="18.5" x14ac:dyDescent="0.4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</row>
    <row r="286" spans="1:13" ht="18.5" x14ac:dyDescent="0.45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</row>
    <row r="287" spans="1:13" ht="18.5" x14ac:dyDescent="0.45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</row>
    <row r="288" spans="1:13" ht="18.5" x14ac:dyDescent="0.45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</row>
    <row r="289" spans="1:13" ht="18.5" x14ac:dyDescent="0.45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</row>
    <row r="290" spans="1:13" ht="18.5" x14ac:dyDescent="0.45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</row>
    <row r="291" spans="1:13" ht="18.5" x14ac:dyDescent="0.45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</row>
    <row r="292" spans="1:13" ht="18.5" x14ac:dyDescent="0.45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</row>
    <row r="293" spans="1:13" ht="18.5" x14ac:dyDescent="0.45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</row>
    <row r="294" spans="1:13" ht="18.5" x14ac:dyDescent="0.45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</row>
    <row r="295" spans="1:13" ht="18.5" x14ac:dyDescent="0.4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</row>
    <row r="296" spans="1:13" ht="18.5" x14ac:dyDescent="0.45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</row>
    <row r="297" spans="1:13" ht="18.5" x14ac:dyDescent="0.45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</row>
    <row r="298" spans="1:13" ht="18.5" x14ac:dyDescent="0.45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</row>
    <row r="299" spans="1:13" ht="18.5" x14ac:dyDescent="0.45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</row>
    <row r="300" spans="1:13" ht="18.5" x14ac:dyDescent="0.45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</row>
    <row r="301" spans="1:13" ht="18.5" x14ac:dyDescent="0.45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</row>
    <row r="302" spans="1:13" ht="18.5" x14ac:dyDescent="0.45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</row>
    <row r="303" spans="1:13" ht="18.5" x14ac:dyDescent="0.45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</row>
    <row r="304" spans="1:13" ht="18.5" x14ac:dyDescent="0.45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</row>
    <row r="305" spans="1:13" ht="18.5" x14ac:dyDescent="0.4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</row>
    <row r="306" spans="1:13" ht="18.5" x14ac:dyDescent="0.45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</row>
    <row r="307" spans="1:13" ht="18.5" x14ac:dyDescent="0.45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</row>
    <row r="308" spans="1:13" ht="18.5" x14ac:dyDescent="0.45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</row>
    <row r="309" spans="1:13" ht="18.5" x14ac:dyDescent="0.45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</row>
    <row r="310" spans="1:13" ht="18.5" x14ac:dyDescent="0.45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</row>
    <row r="311" spans="1:13" ht="18.5" x14ac:dyDescent="0.45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</row>
    <row r="312" spans="1:13" ht="18.5" x14ac:dyDescent="0.45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</row>
    <row r="313" spans="1:13" ht="18.5" x14ac:dyDescent="0.45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</row>
    <row r="314" spans="1:13" ht="18.5" x14ac:dyDescent="0.45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</row>
    <row r="315" spans="1:13" ht="18.5" x14ac:dyDescent="0.4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</row>
    <row r="316" spans="1:13" ht="18.5" x14ac:dyDescent="0.45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</row>
    <row r="317" spans="1:13" ht="18.5" x14ac:dyDescent="0.45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</row>
    <row r="318" spans="1:13" ht="18.5" x14ac:dyDescent="0.45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</row>
    <row r="319" spans="1:13" ht="18.5" x14ac:dyDescent="0.45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</row>
    <row r="320" spans="1:13" ht="18.5" x14ac:dyDescent="0.45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</row>
    <row r="321" spans="1:13" ht="18.5" x14ac:dyDescent="0.45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</row>
    <row r="322" spans="1:13" ht="18.5" x14ac:dyDescent="0.45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</row>
    <row r="323" spans="1:13" ht="18.5" x14ac:dyDescent="0.45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</row>
    <row r="324" spans="1:13" ht="18.5" x14ac:dyDescent="0.45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</row>
    <row r="325" spans="1:13" ht="18.5" x14ac:dyDescent="0.4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</row>
    <row r="326" spans="1:13" ht="18.5" x14ac:dyDescent="0.45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</row>
    <row r="327" spans="1:13" ht="18.5" x14ac:dyDescent="0.45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</row>
    <row r="328" spans="1:13" ht="18.5" x14ac:dyDescent="0.45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</row>
    <row r="329" spans="1:13" ht="18.5" x14ac:dyDescent="0.45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</row>
    <row r="330" spans="1:13" ht="18.5" x14ac:dyDescent="0.45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</row>
    <row r="331" spans="1:13" ht="18.5" x14ac:dyDescent="0.45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</row>
    <row r="332" spans="1:13" ht="18.5" x14ac:dyDescent="0.45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</row>
    <row r="333" spans="1:13" ht="18.5" x14ac:dyDescent="0.45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</row>
    <row r="334" spans="1:13" ht="18.5" x14ac:dyDescent="0.45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</row>
    <row r="335" spans="1:13" ht="18.5" x14ac:dyDescent="0.4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</row>
    <row r="336" spans="1:13" ht="18.5" x14ac:dyDescent="0.45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</row>
    <row r="337" spans="1:13" ht="18.5" x14ac:dyDescent="0.4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</row>
    <row r="338" spans="1:13" ht="18.5" x14ac:dyDescent="0.45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</row>
    <row r="339" spans="1:13" ht="18.5" x14ac:dyDescent="0.45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</row>
    <row r="340" spans="1:13" ht="18.5" x14ac:dyDescent="0.45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</row>
    <row r="341" spans="1:13" ht="18.5" x14ac:dyDescent="0.45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</row>
    <row r="342" spans="1:13" ht="18.5" x14ac:dyDescent="0.45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</row>
    <row r="343" spans="1:13" ht="18.5" x14ac:dyDescent="0.45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</row>
    <row r="344" spans="1:13" ht="18.5" x14ac:dyDescent="0.45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</row>
    <row r="345" spans="1:13" ht="18.5" x14ac:dyDescent="0.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</row>
    <row r="346" spans="1:13" ht="18.5" x14ac:dyDescent="0.45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</row>
    <row r="347" spans="1:13" ht="18.5" x14ac:dyDescent="0.45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</row>
    <row r="348" spans="1:13" ht="18.5" x14ac:dyDescent="0.45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</row>
    <row r="349" spans="1:13" ht="18.5" x14ac:dyDescent="0.45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</row>
    <row r="350" spans="1:13" ht="18.5" x14ac:dyDescent="0.45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</row>
    <row r="351" spans="1:13" ht="18.5" x14ac:dyDescent="0.45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</row>
    <row r="352" spans="1:13" ht="18.5" x14ac:dyDescent="0.45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</row>
    <row r="353" spans="1:13" ht="18.5" x14ac:dyDescent="0.45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</row>
    <row r="354" spans="1:13" ht="18.5" x14ac:dyDescent="0.45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</row>
    <row r="355" spans="1:13" ht="18.5" x14ac:dyDescent="0.4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</row>
    <row r="356" spans="1:13" ht="18.5" x14ac:dyDescent="0.45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</row>
    <row r="357" spans="1:13" ht="18.5" x14ac:dyDescent="0.45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</row>
    <row r="358" spans="1:13" ht="18.5" x14ac:dyDescent="0.45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</row>
    <row r="359" spans="1:13" ht="18.5" x14ac:dyDescent="0.45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</row>
    <row r="360" spans="1:13" ht="18.5" x14ac:dyDescent="0.45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</row>
    <row r="361" spans="1:13" ht="18.5" x14ac:dyDescent="0.45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</row>
    <row r="362" spans="1:13" ht="18.5" x14ac:dyDescent="0.45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</row>
    <row r="363" spans="1:13" ht="18.5" x14ac:dyDescent="0.45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</row>
    <row r="364" spans="1:13" ht="18.5" x14ac:dyDescent="0.45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</row>
    <row r="365" spans="1:13" ht="18.5" x14ac:dyDescent="0.4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</row>
    <row r="366" spans="1:13" ht="18.5" x14ac:dyDescent="0.45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</row>
    <row r="367" spans="1:13" ht="18.5" x14ac:dyDescent="0.45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</row>
    <row r="368" spans="1:13" ht="18.5" x14ac:dyDescent="0.45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</row>
    <row r="369" spans="1:13" ht="18.5" x14ac:dyDescent="0.45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</row>
    <row r="370" spans="1:13" ht="18.5" x14ac:dyDescent="0.45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</row>
    <row r="371" spans="1:13" ht="18.5" x14ac:dyDescent="0.45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</row>
    <row r="372" spans="1:13" ht="18.5" x14ac:dyDescent="0.45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</row>
    <row r="373" spans="1:13" ht="18.5" x14ac:dyDescent="0.45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</row>
    <row r="374" spans="1:13" ht="18.5" x14ac:dyDescent="0.45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</row>
    <row r="375" spans="1:13" ht="18.5" x14ac:dyDescent="0.4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</row>
    <row r="376" spans="1:13" ht="18.5" x14ac:dyDescent="0.45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</row>
    <row r="377" spans="1:13" ht="18.5" x14ac:dyDescent="0.45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</row>
    <row r="378" spans="1:13" ht="18.5" x14ac:dyDescent="0.45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</row>
    <row r="379" spans="1:13" ht="18.5" x14ac:dyDescent="0.45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</row>
    <row r="380" spans="1:13" ht="18.5" x14ac:dyDescent="0.45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</row>
    <row r="381" spans="1:13" ht="18.5" x14ac:dyDescent="0.45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</row>
    <row r="382" spans="1:13" ht="18.5" x14ac:dyDescent="0.45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</row>
    <row r="383" spans="1:13" ht="18.5" x14ac:dyDescent="0.45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</row>
    <row r="384" spans="1:13" ht="18.5" x14ac:dyDescent="0.45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</row>
    <row r="385" spans="1:13" ht="18.5" x14ac:dyDescent="0.4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</row>
    <row r="386" spans="1:13" ht="18.5" x14ac:dyDescent="0.45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</row>
    <row r="387" spans="1:13" ht="18.5" x14ac:dyDescent="0.45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</row>
    <row r="388" spans="1:13" ht="18.5" x14ac:dyDescent="0.45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</row>
    <row r="389" spans="1:13" ht="18.5" x14ac:dyDescent="0.45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</row>
    <row r="390" spans="1:13" ht="18.5" x14ac:dyDescent="0.45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</row>
    <row r="391" spans="1:13" ht="18.5" x14ac:dyDescent="0.45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</row>
    <row r="392" spans="1:13" ht="18.5" x14ac:dyDescent="0.45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</row>
    <row r="393" spans="1:13" ht="18.5" x14ac:dyDescent="0.45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</row>
    <row r="394" spans="1:13" ht="18.5" x14ac:dyDescent="0.45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</row>
    <row r="395" spans="1:13" ht="18.5" x14ac:dyDescent="0.4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</row>
    <row r="396" spans="1:13" ht="18.5" x14ac:dyDescent="0.45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</row>
    <row r="397" spans="1:13" ht="18.5" x14ac:dyDescent="0.45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</row>
    <row r="398" spans="1:13" ht="18.5" x14ac:dyDescent="0.45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</row>
    <row r="399" spans="1:13" ht="18.5" x14ac:dyDescent="0.45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</row>
    <row r="400" spans="1:13" ht="18.5" x14ac:dyDescent="0.45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</row>
    <row r="401" spans="1:13" ht="18.5" x14ac:dyDescent="0.45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</row>
    <row r="402" spans="1:13" ht="18.5" x14ac:dyDescent="0.45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</row>
    <row r="403" spans="1:13" ht="18.5" x14ac:dyDescent="0.45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</row>
    <row r="404" spans="1:13" ht="18.5" x14ac:dyDescent="0.45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</row>
    <row r="405" spans="1:13" ht="18.5" x14ac:dyDescent="0.4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</row>
    <row r="406" spans="1:13" ht="18.5" x14ac:dyDescent="0.45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</row>
    <row r="407" spans="1:13" ht="18.5" x14ac:dyDescent="0.45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</row>
    <row r="408" spans="1:13" ht="18.5" x14ac:dyDescent="0.45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</row>
    <row r="409" spans="1:13" ht="18.5" x14ac:dyDescent="0.45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</row>
    <row r="410" spans="1:13" ht="18.5" x14ac:dyDescent="0.45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</row>
    <row r="411" spans="1:13" ht="18.5" x14ac:dyDescent="0.45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</row>
    <row r="412" spans="1:13" ht="18.5" x14ac:dyDescent="0.45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</row>
    <row r="413" spans="1:13" ht="18.5" x14ac:dyDescent="0.45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</row>
    <row r="414" spans="1:13" ht="18.5" x14ac:dyDescent="0.45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</row>
    <row r="415" spans="1:13" ht="18.5" x14ac:dyDescent="0.4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</row>
    <row r="416" spans="1:13" ht="18.5" x14ac:dyDescent="0.45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</row>
    <row r="417" spans="1:13" ht="18.5" x14ac:dyDescent="0.45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</row>
    <row r="418" spans="1:13" ht="18.5" x14ac:dyDescent="0.45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</row>
    <row r="419" spans="1:13" ht="18.5" x14ac:dyDescent="0.45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</row>
    <row r="420" spans="1:13" ht="18.5" x14ac:dyDescent="0.45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</row>
    <row r="421" spans="1:13" ht="18.5" x14ac:dyDescent="0.45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</row>
    <row r="422" spans="1:13" ht="18.5" x14ac:dyDescent="0.45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</row>
    <row r="423" spans="1:13" ht="18.5" x14ac:dyDescent="0.45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</row>
    <row r="424" spans="1:13" ht="18.5" x14ac:dyDescent="0.45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</row>
    <row r="425" spans="1:13" ht="18.5" x14ac:dyDescent="0.4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</row>
    <row r="426" spans="1:13" ht="18.5" x14ac:dyDescent="0.45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</row>
    <row r="427" spans="1:13" ht="18.5" x14ac:dyDescent="0.45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</row>
    <row r="428" spans="1:13" ht="18.5" x14ac:dyDescent="0.45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</row>
    <row r="429" spans="1:13" ht="18.5" x14ac:dyDescent="0.45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</row>
    <row r="430" spans="1:13" ht="18.5" x14ac:dyDescent="0.45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</row>
    <row r="431" spans="1:13" ht="18.5" x14ac:dyDescent="0.45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</row>
    <row r="432" spans="1:13" ht="18.5" x14ac:dyDescent="0.45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</row>
    <row r="433" spans="1:13" ht="18.5" x14ac:dyDescent="0.45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</row>
    <row r="434" spans="1:13" ht="18.5" x14ac:dyDescent="0.45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</row>
    <row r="435" spans="1:13" ht="18.5" x14ac:dyDescent="0.4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</row>
    <row r="436" spans="1:13" ht="18.5" x14ac:dyDescent="0.45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</row>
    <row r="437" spans="1:13" ht="18.5" x14ac:dyDescent="0.45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</row>
    <row r="438" spans="1:13" ht="18.5" x14ac:dyDescent="0.45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</row>
    <row r="439" spans="1:13" ht="18.5" x14ac:dyDescent="0.45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</row>
    <row r="440" spans="1:13" ht="18.5" x14ac:dyDescent="0.45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</row>
    <row r="441" spans="1:13" ht="18.5" x14ac:dyDescent="0.45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</row>
    <row r="442" spans="1:13" ht="18.5" x14ac:dyDescent="0.45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</row>
    <row r="443" spans="1:13" ht="18.5" x14ac:dyDescent="0.45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</row>
    <row r="444" spans="1:13" ht="18.5" x14ac:dyDescent="0.45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</row>
    <row r="445" spans="1:13" ht="18.5" x14ac:dyDescent="0.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</row>
    <row r="446" spans="1:13" ht="18.5" x14ac:dyDescent="0.45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</row>
    <row r="447" spans="1:13" ht="18.5" x14ac:dyDescent="0.45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</row>
    <row r="448" spans="1:13" ht="18.5" x14ac:dyDescent="0.45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</row>
    <row r="449" spans="1:13" ht="18.5" x14ac:dyDescent="0.45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</row>
    <row r="450" spans="1:13" ht="18.5" x14ac:dyDescent="0.45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</row>
    <row r="451" spans="1:13" ht="18.5" x14ac:dyDescent="0.45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</row>
    <row r="452" spans="1:13" ht="18.5" x14ac:dyDescent="0.45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</row>
    <row r="453" spans="1:13" ht="18.5" x14ac:dyDescent="0.45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</row>
    <row r="454" spans="1:13" ht="18.5" x14ac:dyDescent="0.45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</row>
    <row r="455" spans="1:13" ht="18.5" x14ac:dyDescent="0.4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</row>
    <row r="456" spans="1:13" ht="18.5" x14ac:dyDescent="0.45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</row>
    <row r="457" spans="1:13" ht="18.5" x14ac:dyDescent="0.45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</row>
    <row r="458" spans="1:13" ht="18.5" x14ac:dyDescent="0.45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</row>
    <row r="459" spans="1:13" ht="18.5" x14ac:dyDescent="0.45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</row>
    <row r="460" spans="1:13" ht="18.5" x14ac:dyDescent="0.45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</row>
    <row r="461" spans="1:13" ht="18.5" x14ac:dyDescent="0.45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</row>
    <row r="462" spans="1:13" ht="18.5" x14ac:dyDescent="0.45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</row>
    <row r="463" spans="1:13" ht="18.5" x14ac:dyDescent="0.45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</row>
    <row r="464" spans="1:13" ht="18.5" x14ac:dyDescent="0.45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</row>
    <row r="465" spans="1:13" ht="18.5" x14ac:dyDescent="0.4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</row>
    <row r="466" spans="1:13" ht="18.5" x14ac:dyDescent="0.45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</row>
    <row r="467" spans="1:13" ht="18.5" x14ac:dyDescent="0.45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</row>
    <row r="468" spans="1:13" ht="18.5" x14ac:dyDescent="0.45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</row>
    <row r="469" spans="1:13" ht="18.5" x14ac:dyDescent="0.45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</row>
    <row r="470" spans="1:13" ht="18.5" x14ac:dyDescent="0.45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</row>
    <row r="471" spans="1:13" ht="18.5" x14ac:dyDescent="0.45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</row>
    <row r="472" spans="1:13" ht="18.5" x14ac:dyDescent="0.45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</row>
    <row r="473" spans="1:13" ht="18.5" x14ac:dyDescent="0.45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</row>
    <row r="474" spans="1:13" ht="18.5" x14ac:dyDescent="0.45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</row>
    <row r="475" spans="1:13" ht="18.5" x14ac:dyDescent="0.4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</row>
    <row r="476" spans="1:13" ht="18.5" x14ac:dyDescent="0.45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</row>
    <row r="477" spans="1:13" ht="18.5" x14ac:dyDescent="0.45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</row>
    <row r="478" spans="1:13" ht="18.5" x14ac:dyDescent="0.45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</row>
    <row r="479" spans="1:13" ht="18.5" x14ac:dyDescent="0.45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</row>
    <row r="480" spans="1:13" ht="18.5" x14ac:dyDescent="0.45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</row>
    <row r="481" spans="1:13" ht="18.5" x14ac:dyDescent="0.45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</row>
    <row r="482" spans="1:13" ht="18.5" x14ac:dyDescent="0.45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</row>
    <row r="483" spans="1:13" ht="18.5" x14ac:dyDescent="0.45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</row>
    <row r="484" spans="1:13" ht="18.5" x14ac:dyDescent="0.45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</row>
    <row r="485" spans="1:13" ht="18.5" x14ac:dyDescent="0.4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</row>
    <row r="486" spans="1:13" ht="18.5" x14ac:dyDescent="0.45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</row>
    <row r="487" spans="1:13" ht="18.5" x14ac:dyDescent="0.45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</row>
    <row r="488" spans="1:13" ht="18.5" x14ac:dyDescent="0.45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</row>
    <row r="489" spans="1:13" ht="18.5" x14ac:dyDescent="0.45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</row>
    <row r="490" spans="1:13" ht="18.5" x14ac:dyDescent="0.45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</row>
    <row r="491" spans="1:13" ht="18.5" x14ac:dyDescent="0.45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</row>
    <row r="492" spans="1:13" ht="18.5" x14ac:dyDescent="0.45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</row>
    <row r="493" spans="1:13" ht="18.5" x14ac:dyDescent="0.45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</row>
    <row r="494" spans="1:13" ht="18.5" x14ac:dyDescent="0.45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</row>
    <row r="495" spans="1:13" ht="18.5" x14ac:dyDescent="0.4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</row>
    <row r="496" spans="1:13" ht="18.5" x14ac:dyDescent="0.45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</row>
    <row r="497" spans="1:13" ht="18.5" x14ac:dyDescent="0.45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</row>
    <row r="498" spans="1:13" ht="18.5" x14ac:dyDescent="0.45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</row>
    <row r="499" spans="1:13" ht="18.5" x14ac:dyDescent="0.45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</row>
    <row r="500" spans="1:13" ht="18.5" x14ac:dyDescent="0.45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</row>
    <row r="501" spans="1:13" ht="18.5" x14ac:dyDescent="0.45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</row>
    <row r="502" spans="1:13" ht="18.5" x14ac:dyDescent="0.45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</row>
    <row r="503" spans="1:13" ht="18.5" x14ac:dyDescent="0.45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</row>
    <row r="504" spans="1:13" ht="18.5" x14ac:dyDescent="0.45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</row>
    <row r="505" spans="1:13" ht="18.5" x14ac:dyDescent="0.4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</row>
    <row r="506" spans="1:13" ht="18.5" x14ac:dyDescent="0.45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</row>
    <row r="507" spans="1:13" ht="18.5" x14ac:dyDescent="0.45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</row>
  </sheetData>
  <mergeCells count="1">
    <mergeCell ref="A1:O2"/>
  </mergeCells>
  <pageMargins left="0.7" right="0.7" top="0.75" bottom="0.75" header="0.3" footer="0.3"/>
  <pageSetup paperSize="9" scale="87" fitToHeight="0" orientation="portrait" r:id="rId1"/>
  <rowBreaks count="1" manualBreakCount="1">
    <brk id="40" max="16383" man="1"/>
  </rowBreaks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="72" workbookViewId="0">
      <selection activeCell="I11" sqref="I11"/>
    </sheetView>
  </sheetViews>
  <sheetFormatPr defaultRowHeight="14.5" x14ac:dyDescent="0.35"/>
  <cols>
    <col min="1" max="1" width="14.7265625" bestFit="1" customWidth="1"/>
    <col min="2" max="2" width="14" bestFit="1" customWidth="1"/>
    <col min="3" max="3" width="7.1796875" bestFit="1" customWidth="1"/>
    <col min="4" max="4" width="14.453125" bestFit="1" customWidth="1"/>
    <col min="5" max="5" width="22" bestFit="1" customWidth="1"/>
    <col min="8" max="8" width="27.6328125" bestFit="1" customWidth="1"/>
  </cols>
  <sheetData>
    <row r="1" spans="1:9" x14ac:dyDescent="0.35">
      <c r="A1" s="89" t="s">
        <v>247</v>
      </c>
      <c r="B1" s="89"/>
      <c r="C1" s="89"/>
      <c r="D1" s="89"/>
      <c r="E1" s="89"/>
    </row>
    <row r="2" spans="1:9" x14ac:dyDescent="0.35">
      <c r="A2" s="90"/>
      <c r="B2" s="90"/>
      <c r="C2" s="90"/>
      <c r="D2" s="90"/>
      <c r="E2" s="90"/>
    </row>
    <row r="3" spans="1:9" ht="18.5" x14ac:dyDescent="0.45">
      <c r="A3" s="60" t="s">
        <v>228</v>
      </c>
      <c r="B3" s="60" t="s">
        <v>229</v>
      </c>
      <c r="C3" s="60" t="s">
        <v>118</v>
      </c>
      <c r="D3" s="60" t="s">
        <v>230</v>
      </c>
      <c r="E3" s="60" t="s">
        <v>231</v>
      </c>
    </row>
    <row r="4" spans="1:9" x14ac:dyDescent="0.35">
      <c r="A4" s="61" t="s">
        <v>232</v>
      </c>
      <c r="B4" s="61" t="s">
        <v>233</v>
      </c>
      <c r="C4" s="61">
        <v>55000</v>
      </c>
      <c r="D4" s="61">
        <v>7</v>
      </c>
      <c r="E4" s="61">
        <f>D4*C4</f>
        <v>385000</v>
      </c>
    </row>
    <row r="5" spans="1:9" x14ac:dyDescent="0.35">
      <c r="A5" s="62" t="s">
        <v>234</v>
      </c>
      <c r="B5" s="62" t="s">
        <v>233</v>
      </c>
      <c r="C5" s="62">
        <v>26500</v>
      </c>
      <c r="D5" s="62">
        <v>7</v>
      </c>
      <c r="E5" s="61">
        <f t="shared" ref="E5:E44" si="0">D5*C5</f>
        <v>185500</v>
      </c>
    </row>
    <row r="6" spans="1:9" x14ac:dyDescent="0.35">
      <c r="A6" s="61" t="s">
        <v>235</v>
      </c>
      <c r="B6" s="61" t="s">
        <v>233</v>
      </c>
      <c r="C6" s="61">
        <v>52600</v>
      </c>
      <c r="D6" s="61">
        <v>34</v>
      </c>
      <c r="E6" s="61">
        <f t="shared" si="0"/>
        <v>1788400</v>
      </c>
    </row>
    <row r="7" spans="1:9" x14ac:dyDescent="0.35">
      <c r="A7" s="62" t="s">
        <v>236</v>
      </c>
      <c r="B7" s="62" t="s">
        <v>233</v>
      </c>
      <c r="C7" s="62">
        <v>96100</v>
      </c>
      <c r="D7" s="62">
        <v>32</v>
      </c>
      <c r="E7" s="61">
        <f t="shared" si="0"/>
        <v>3075200</v>
      </c>
    </row>
    <row r="8" spans="1:9" x14ac:dyDescent="0.35">
      <c r="A8" s="61" t="s">
        <v>26</v>
      </c>
      <c r="B8" s="61" t="s">
        <v>237</v>
      </c>
      <c r="C8" s="61">
        <v>7500</v>
      </c>
      <c r="D8" s="61">
        <v>5</v>
      </c>
      <c r="E8" s="61">
        <f t="shared" si="0"/>
        <v>37500</v>
      </c>
      <c r="H8" t="s">
        <v>263</v>
      </c>
      <c r="I8">
        <f>SUMIF(B4:B44,B5,E4:E44)</f>
        <v>14909400</v>
      </c>
    </row>
    <row r="9" spans="1:9" x14ac:dyDescent="0.35">
      <c r="A9" s="62" t="s">
        <v>238</v>
      </c>
      <c r="B9" s="62" t="s">
        <v>237</v>
      </c>
      <c r="C9" s="62">
        <v>43900</v>
      </c>
      <c r="D9" s="62">
        <v>5</v>
      </c>
      <c r="E9" s="61">
        <f t="shared" si="0"/>
        <v>219500</v>
      </c>
      <c r="H9" t="s">
        <v>264</v>
      </c>
      <c r="I9">
        <f>SUMIF(B4:B44,B8,E4:E44)</f>
        <v>5554800</v>
      </c>
    </row>
    <row r="10" spans="1:9" x14ac:dyDescent="0.35">
      <c r="A10" s="61" t="s">
        <v>239</v>
      </c>
      <c r="B10" s="61" t="s">
        <v>237</v>
      </c>
      <c r="C10" s="61">
        <v>61300</v>
      </c>
      <c r="D10" s="61">
        <v>12</v>
      </c>
      <c r="E10" s="61">
        <f t="shared" si="0"/>
        <v>735600</v>
      </c>
      <c r="H10" t="s">
        <v>265</v>
      </c>
      <c r="I10">
        <f>SUMIF(B4:B44,B16,E4:E44)</f>
        <v>8202400</v>
      </c>
    </row>
    <row r="11" spans="1:9" x14ac:dyDescent="0.35">
      <c r="A11" s="62" t="s">
        <v>236</v>
      </c>
      <c r="B11" s="62" t="s">
        <v>240</v>
      </c>
      <c r="C11" s="62">
        <v>9100</v>
      </c>
      <c r="D11" s="62">
        <v>45</v>
      </c>
      <c r="E11" s="61">
        <f t="shared" si="0"/>
        <v>409500</v>
      </c>
      <c r="H11" t="s">
        <v>266</v>
      </c>
    </row>
    <row r="12" spans="1:9" x14ac:dyDescent="0.35">
      <c r="A12" s="61" t="s">
        <v>26</v>
      </c>
      <c r="B12" s="61" t="s">
        <v>240</v>
      </c>
      <c r="C12" s="61">
        <v>78700</v>
      </c>
      <c r="D12" s="61">
        <v>17</v>
      </c>
      <c r="E12" s="61">
        <f t="shared" si="0"/>
        <v>1337900</v>
      </c>
    </row>
    <row r="13" spans="1:9" x14ac:dyDescent="0.35">
      <c r="A13" s="62" t="s">
        <v>239</v>
      </c>
      <c r="B13" s="62" t="s">
        <v>241</v>
      </c>
      <c r="C13" s="62">
        <v>3500</v>
      </c>
      <c r="D13" s="62">
        <v>5</v>
      </c>
      <c r="E13" s="61">
        <f t="shared" si="0"/>
        <v>17500</v>
      </c>
    </row>
    <row r="14" spans="1:9" x14ac:dyDescent="0.35">
      <c r="A14" s="61" t="s">
        <v>242</v>
      </c>
      <c r="B14" s="61" t="s">
        <v>241</v>
      </c>
      <c r="C14" s="61">
        <v>35200</v>
      </c>
      <c r="D14" s="61">
        <v>27</v>
      </c>
      <c r="E14" s="61">
        <f t="shared" si="0"/>
        <v>950400</v>
      </c>
    </row>
    <row r="15" spans="1:9" x14ac:dyDescent="0.35">
      <c r="A15" s="62" t="s">
        <v>243</v>
      </c>
      <c r="B15" s="62" t="s">
        <v>244</v>
      </c>
      <c r="C15" s="62">
        <v>17800</v>
      </c>
      <c r="D15" s="62">
        <v>4</v>
      </c>
      <c r="E15" s="61">
        <f t="shared" si="0"/>
        <v>71200</v>
      </c>
    </row>
    <row r="16" spans="1:9" x14ac:dyDescent="0.35">
      <c r="A16" s="61" t="s">
        <v>68</v>
      </c>
      <c r="B16" s="61" t="s">
        <v>244</v>
      </c>
      <c r="C16" s="61">
        <v>17800</v>
      </c>
      <c r="D16" s="61">
        <v>8</v>
      </c>
      <c r="E16" s="61">
        <f t="shared" si="0"/>
        <v>142400</v>
      </c>
    </row>
    <row r="17" spans="1:5" x14ac:dyDescent="0.35">
      <c r="A17" s="62" t="s">
        <v>232</v>
      </c>
      <c r="B17" s="62" t="s">
        <v>244</v>
      </c>
      <c r="C17" s="62">
        <v>70000</v>
      </c>
      <c r="D17" s="62">
        <v>16</v>
      </c>
      <c r="E17" s="61">
        <f t="shared" si="0"/>
        <v>1120000</v>
      </c>
    </row>
    <row r="18" spans="1:5" x14ac:dyDescent="0.35">
      <c r="A18" s="61" t="s">
        <v>243</v>
      </c>
      <c r="B18" s="61" t="s">
        <v>244</v>
      </c>
      <c r="C18" s="61">
        <v>87400</v>
      </c>
      <c r="D18" s="61">
        <v>31</v>
      </c>
      <c r="E18" s="61">
        <f t="shared" si="0"/>
        <v>2709400</v>
      </c>
    </row>
    <row r="19" spans="1:5" x14ac:dyDescent="0.35">
      <c r="A19" s="61" t="s">
        <v>22</v>
      </c>
      <c r="B19" s="61" t="s">
        <v>233</v>
      </c>
      <c r="C19" s="61">
        <v>17800</v>
      </c>
      <c r="D19" s="61">
        <v>43</v>
      </c>
      <c r="E19" s="61">
        <f t="shared" si="0"/>
        <v>765400</v>
      </c>
    </row>
    <row r="20" spans="1:5" x14ac:dyDescent="0.35">
      <c r="A20" s="62" t="s">
        <v>23</v>
      </c>
      <c r="B20" s="62" t="s">
        <v>233</v>
      </c>
      <c r="C20" s="62">
        <v>52600</v>
      </c>
      <c r="D20" s="62">
        <v>45</v>
      </c>
      <c r="E20" s="61">
        <f t="shared" si="0"/>
        <v>2367000</v>
      </c>
    </row>
    <row r="21" spans="1:5" x14ac:dyDescent="0.35">
      <c r="A21" s="61" t="s">
        <v>24</v>
      </c>
      <c r="B21" s="61" t="s">
        <v>233</v>
      </c>
      <c r="C21" s="61">
        <v>7500</v>
      </c>
      <c r="D21" s="61">
        <v>12</v>
      </c>
      <c r="E21" s="61">
        <f t="shared" si="0"/>
        <v>90000</v>
      </c>
    </row>
    <row r="22" spans="1:5" x14ac:dyDescent="0.35">
      <c r="A22" s="62" t="s">
        <v>25</v>
      </c>
      <c r="B22" s="62" t="s">
        <v>233</v>
      </c>
      <c r="C22" s="62">
        <v>61300</v>
      </c>
      <c r="D22" s="62">
        <v>40</v>
      </c>
      <c r="E22" s="61">
        <f t="shared" si="0"/>
        <v>2452000</v>
      </c>
    </row>
    <row r="23" spans="1:5" x14ac:dyDescent="0.35">
      <c r="A23" s="61" t="s">
        <v>26</v>
      </c>
      <c r="B23" s="61" t="s">
        <v>237</v>
      </c>
      <c r="C23" s="61">
        <v>9100</v>
      </c>
      <c r="D23" s="61">
        <v>16</v>
      </c>
      <c r="E23" s="61">
        <f t="shared" si="0"/>
        <v>145600</v>
      </c>
    </row>
    <row r="24" spans="1:5" x14ac:dyDescent="0.35">
      <c r="A24" s="62" t="s">
        <v>27</v>
      </c>
      <c r="B24" s="62" t="s">
        <v>237</v>
      </c>
      <c r="C24" s="62">
        <v>17800</v>
      </c>
      <c r="D24" s="62">
        <v>23</v>
      </c>
      <c r="E24" s="61">
        <f t="shared" si="0"/>
        <v>409400</v>
      </c>
    </row>
    <row r="25" spans="1:5" x14ac:dyDescent="0.35">
      <c r="A25" s="61" t="s">
        <v>28</v>
      </c>
      <c r="B25" s="61" t="s">
        <v>237</v>
      </c>
      <c r="C25" s="61">
        <v>17800</v>
      </c>
      <c r="D25" s="61">
        <v>29</v>
      </c>
      <c r="E25" s="61">
        <f t="shared" si="0"/>
        <v>516200</v>
      </c>
    </row>
    <row r="26" spans="1:5" x14ac:dyDescent="0.35">
      <c r="A26" s="62" t="s">
        <v>29</v>
      </c>
      <c r="B26" s="62" t="s">
        <v>240</v>
      </c>
      <c r="C26" s="62">
        <v>70000</v>
      </c>
      <c r="D26" s="62">
        <v>22</v>
      </c>
      <c r="E26" s="61">
        <f t="shared" si="0"/>
        <v>1540000</v>
      </c>
    </row>
    <row r="27" spans="1:5" x14ac:dyDescent="0.35">
      <c r="A27" s="61" t="s">
        <v>30</v>
      </c>
      <c r="B27" s="61" t="s">
        <v>240</v>
      </c>
      <c r="C27" s="61">
        <v>78700</v>
      </c>
      <c r="D27" s="61">
        <v>30</v>
      </c>
      <c r="E27" s="61">
        <f t="shared" si="0"/>
        <v>2361000</v>
      </c>
    </row>
    <row r="28" spans="1:5" x14ac:dyDescent="0.35">
      <c r="A28" s="62" t="s">
        <v>31</v>
      </c>
      <c r="B28" s="62" t="s">
        <v>241</v>
      </c>
      <c r="C28" s="62">
        <v>3500</v>
      </c>
      <c r="D28" s="62">
        <v>32</v>
      </c>
      <c r="E28" s="61">
        <f t="shared" si="0"/>
        <v>112000</v>
      </c>
    </row>
    <row r="29" spans="1:5" x14ac:dyDescent="0.35">
      <c r="A29" s="61" t="s">
        <v>32</v>
      </c>
      <c r="B29" s="61" t="s">
        <v>241</v>
      </c>
      <c r="C29" s="61">
        <v>35200</v>
      </c>
      <c r="D29" s="61">
        <v>13</v>
      </c>
      <c r="E29" s="61">
        <f t="shared" si="0"/>
        <v>457600</v>
      </c>
    </row>
    <row r="30" spans="1:5" x14ac:dyDescent="0.35">
      <c r="A30" s="62" t="s">
        <v>33</v>
      </c>
      <c r="B30" s="62" t="s">
        <v>244</v>
      </c>
      <c r="C30" s="62">
        <v>17800</v>
      </c>
      <c r="D30" s="62">
        <v>23</v>
      </c>
      <c r="E30" s="61">
        <f t="shared" si="0"/>
        <v>409400</v>
      </c>
    </row>
    <row r="31" spans="1:5" x14ac:dyDescent="0.35">
      <c r="A31" s="61" t="s">
        <v>34</v>
      </c>
      <c r="B31" s="61" t="s">
        <v>244</v>
      </c>
      <c r="C31" s="61">
        <v>17800</v>
      </c>
      <c r="D31" s="61">
        <v>21</v>
      </c>
      <c r="E31" s="61">
        <f t="shared" si="0"/>
        <v>373800</v>
      </c>
    </row>
    <row r="32" spans="1:5" x14ac:dyDescent="0.35">
      <c r="A32" s="62" t="s">
        <v>67</v>
      </c>
      <c r="B32" s="62" t="s">
        <v>244</v>
      </c>
      <c r="C32" s="62">
        <v>70000</v>
      </c>
      <c r="D32" s="62">
        <v>32</v>
      </c>
      <c r="E32" s="61">
        <f t="shared" si="0"/>
        <v>2240000</v>
      </c>
    </row>
    <row r="33" spans="1:5" x14ac:dyDescent="0.35">
      <c r="A33" s="61" t="s">
        <v>68</v>
      </c>
      <c r="B33" s="61" t="s">
        <v>244</v>
      </c>
      <c r="C33" s="61">
        <v>87400</v>
      </c>
      <c r="D33" s="61">
        <v>13</v>
      </c>
      <c r="E33" s="61">
        <f t="shared" si="0"/>
        <v>1136200</v>
      </c>
    </row>
    <row r="34" spans="1:5" x14ac:dyDescent="0.35">
      <c r="A34" s="61" t="s">
        <v>245</v>
      </c>
      <c r="B34" s="61" t="s">
        <v>233</v>
      </c>
      <c r="C34" s="61">
        <v>17800</v>
      </c>
      <c r="D34" s="61">
        <v>24</v>
      </c>
      <c r="E34" s="61">
        <f t="shared" si="0"/>
        <v>427200</v>
      </c>
    </row>
    <row r="35" spans="1:5" x14ac:dyDescent="0.35">
      <c r="A35" s="62" t="s">
        <v>246</v>
      </c>
      <c r="B35" s="62" t="s">
        <v>233</v>
      </c>
      <c r="C35" s="62">
        <v>52600</v>
      </c>
      <c r="D35" s="62">
        <v>40</v>
      </c>
      <c r="E35" s="61">
        <f t="shared" si="0"/>
        <v>2104000</v>
      </c>
    </row>
    <row r="36" spans="1:5" x14ac:dyDescent="0.35">
      <c r="A36" s="61" t="s">
        <v>242</v>
      </c>
      <c r="B36" s="61" t="s">
        <v>233</v>
      </c>
      <c r="C36" s="61">
        <v>7500</v>
      </c>
      <c r="D36" s="61">
        <v>14</v>
      </c>
      <c r="E36" s="61">
        <f t="shared" si="0"/>
        <v>105000</v>
      </c>
    </row>
    <row r="37" spans="1:5" x14ac:dyDescent="0.35">
      <c r="A37" s="61" t="s">
        <v>243</v>
      </c>
      <c r="B37" s="61" t="s">
        <v>233</v>
      </c>
      <c r="C37" s="61">
        <v>61300</v>
      </c>
      <c r="D37" s="61">
        <v>19</v>
      </c>
      <c r="E37" s="61">
        <f t="shared" si="0"/>
        <v>1164700</v>
      </c>
    </row>
    <row r="38" spans="1:5" x14ac:dyDescent="0.35">
      <c r="A38" s="62" t="s">
        <v>22</v>
      </c>
      <c r="B38" s="62" t="s">
        <v>237</v>
      </c>
      <c r="C38" s="62">
        <v>78700</v>
      </c>
      <c r="D38" s="62">
        <v>28</v>
      </c>
      <c r="E38" s="61">
        <f t="shared" si="0"/>
        <v>2203600</v>
      </c>
    </row>
    <row r="39" spans="1:5" x14ac:dyDescent="0.35">
      <c r="A39" s="61" t="s">
        <v>25</v>
      </c>
      <c r="B39" s="61" t="s">
        <v>237</v>
      </c>
      <c r="C39" s="61">
        <v>3500</v>
      </c>
      <c r="D39" s="61">
        <v>46</v>
      </c>
      <c r="E39" s="61">
        <f t="shared" si="0"/>
        <v>161000</v>
      </c>
    </row>
    <row r="40" spans="1:5" x14ac:dyDescent="0.35">
      <c r="A40" s="62" t="s">
        <v>27</v>
      </c>
      <c r="B40" s="62" t="s">
        <v>237</v>
      </c>
      <c r="C40" s="62">
        <v>35200</v>
      </c>
      <c r="D40" s="62">
        <v>32</v>
      </c>
      <c r="E40" s="61">
        <f t="shared" si="0"/>
        <v>1126400</v>
      </c>
    </row>
    <row r="41" spans="1:5" x14ac:dyDescent="0.35">
      <c r="A41" s="61" t="s">
        <v>28</v>
      </c>
      <c r="B41" s="61" t="s">
        <v>240</v>
      </c>
      <c r="C41" s="61">
        <v>17800</v>
      </c>
      <c r="D41" s="61">
        <v>33</v>
      </c>
      <c r="E41" s="61">
        <f t="shared" si="0"/>
        <v>587400</v>
      </c>
    </row>
    <row r="42" spans="1:5" x14ac:dyDescent="0.35">
      <c r="A42" s="62" t="s">
        <v>30</v>
      </c>
      <c r="B42" s="62" t="s">
        <v>240</v>
      </c>
      <c r="C42" s="62">
        <v>17800</v>
      </c>
      <c r="D42" s="62">
        <v>40</v>
      </c>
      <c r="E42" s="61">
        <f t="shared" si="0"/>
        <v>712000</v>
      </c>
    </row>
    <row r="43" spans="1:5" x14ac:dyDescent="0.35">
      <c r="A43" s="61" t="s">
        <v>33</v>
      </c>
      <c r="B43" s="61" t="s">
        <v>241</v>
      </c>
      <c r="C43" s="61">
        <v>70000</v>
      </c>
      <c r="D43" s="61">
        <v>33</v>
      </c>
      <c r="E43" s="61">
        <f t="shared" si="0"/>
        <v>2310000</v>
      </c>
    </row>
    <row r="44" spans="1:5" x14ac:dyDescent="0.35">
      <c r="A44" s="62" t="s">
        <v>242</v>
      </c>
      <c r="B44" s="62" t="s">
        <v>241</v>
      </c>
      <c r="C44" s="62">
        <v>87400</v>
      </c>
      <c r="D44" s="62">
        <v>35</v>
      </c>
      <c r="E44" s="61">
        <f t="shared" si="0"/>
        <v>3059000</v>
      </c>
    </row>
  </sheetData>
  <mergeCells count="1">
    <mergeCell ref="A1:E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A3" zoomScale="49" workbookViewId="0">
      <selection activeCell="N12" sqref="N12"/>
    </sheetView>
  </sheetViews>
  <sheetFormatPr defaultRowHeight="14.5" x14ac:dyDescent="0.35"/>
  <cols>
    <col min="1" max="1" width="17.90625" bestFit="1" customWidth="1"/>
    <col min="2" max="2" width="5.7265625" bestFit="1" customWidth="1"/>
    <col min="3" max="3" width="5.453125" bestFit="1" customWidth="1"/>
    <col min="4" max="4" width="7" bestFit="1" customWidth="1"/>
    <col min="5" max="5" width="8.54296875" bestFit="1" customWidth="1"/>
    <col min="6" max="6" width="14.54296875" bestFit="1" customWidth="1"/>
    <col min="7" max="7" width="10.6328125" bestFit="1" customWidth="1"/>
    <col min="8" max="8" width="17.453125" bestFit="1" customWidth="1"/>
    <col min="9" max="9" width="7.81640625" bestFit="1" customWidth="1"/>
    <col min="14" max="14" width="33.1796875" bestFit="1" customWidth="1"/>
  </cols>
  <sheetData>
    <row r="1" spans="1:15" x14ac:dyDescent="0.35">
      <c r="A1" s="82" t="s">
        <v>227</v>
      </c>
      <c r="B1" s="82"/>
      <c r="C1" s="82"/>
      <c r="D1" s="82"/>
      <c r="E1" s="82"/>
      <c r="F1" s="82"/>
      <c r="G1" s="82"/>
      <c r="H1" s="82"/>
      <c r="I1" s="82"/>
    </row>
    <row r="2" spans="1:15" x14ac:dyDescent="0.35">
      <c r="A2" s="82"/>
      <c r="B2" s="82"/>
      <c r="C2" s="82"/>
      <c r="D2" s="82"/>
      <c r="E2" s="82"/>
      <c r="F2" s="82"/>
      <c r="G2" s="82"/>
      <c r="H2" s="82"/>
      <c r="I2" s="82"/>
    </row>
    <row r="3" spans="1:15" ht="55.5" x14ac:dyDescent="0.35">
      <c r="A3" s="55" t="s">
        <v>208</v>
      </c>
      <c r="B3" s="55" t="s">
        <v>74</v>
      </c>
      <c r="C3" s="55" t="s">
        <v>75</v>
      </c>
      <c r="D3" s="55" t="s">
        <v>76</v>
      </c>
      <c r="E3" s="56" t="s">
        <v>209</v>
      </c>
      <c r="F3" s="55" t="s">
        <v>210</v>
      </c>
      <c r="G3" s="56" t="s">
        <v>211</v>
      </c>
      <c r="H3" s="55" t="s">
        <v>72</v>
      </c>
      <c r="I3" s="56" t="s">
        <v>48</v>
      </c>
    </row>
    <row r="4" spans="1:15" ht="18.5" x14ac:dyDescent="0.45">
      <c r="A4" s="57" t="s">
        <v>212</v>
      </c>
      <c r="B4" s="57">
        <v>234</v>
      </c>
      <c r="C4" s="57">
        <v>535</v>
      </c>
      <c r="D4" s="57">
        <v>257</v>
      </c>
      <c r="E4" s="57">
        <f>SUM(B4:D4)</f>
        <v>1026</v>
      </c>
      <c r="F4" s="57">
        <v>347</v>
      </c>
      <c r="G4" s="58">
        <f>F4*E4</f>
        <v>356022</v>
      </c>
      <c r="H4" s="58" t="str">
        <f>IF(G4&gt;$O$6,"ACHIEVED","NOT ACHIEVED")</f>
        <v>NOT ACHIEVED</v>
      </c>
      <c r="I4" s="58"/>
    </row>
    <row r="5" spans="1:15" ht="18.5" x14ac:dyDescent="0.45">
      <c r="A5" s="59" t="s">
        <v>213</v>
      </c>
      <c r="B5" s="59">
        <v>198</v>
      </c>
      <c r="C5" s="59">
        <v>56</v>
      </c>
      <c r="D5" s="59">
        <v>89</v>
      </c>
      <c r="E5" s="57">
        <f t="shared" ref="E5:E22" si="0">SUM(B5:D5)</f>
        <v>343</v>
      </c>
      <c r="F5" s="59">
        <v>347</v>
      </c>
      <c r="G5" s="58">
        <f t="shared" ref="G5:G22" si="1">F5*E5</f>
        <v>119021</v>
      </c>
      <c r="H5" s="58" t="str">
        <f t="shared" ref="H5:H22" si="2">IF(G5&gt;$O$6,"ACHIEVED","NOT ACHIEVED")</f>
        <v>NOT ACHIEVED</v>
      </c>
      <c r="I5" s="58"/>
    </row>
    <row r="6" spans="1:15" ht="18.5" x14ac:dyDescent="0.45">
      <c r="A6" s="57" t="s">
        <v>214</v>
      </c>
      <c r="B6" s="57">
        <v>128</v>
      </c>
      <c r="C6" s="57">
        <v>357</v>
      </c>
      <c r="D6" s="57">
        <v>341</v>
      </c>
      <c r="E6" s="57">
        <f t="shared" si="0"/>
        <v>826</v>
      </c>
      <c r="F6" s="57">
        <v>562</v>
      </c>
      <c r="G6" s="58">
        <f t="shared" si="1"/>
        <v>464212</v>
      </c>
      <c r="H6" s="58" t="str">
        <f t="shared" si="2"/>
        <v>NOT ACHIEVED</v>
      </c>
      <c r="I6" s="58"/>
      <c r="N6" t="s">
        <v>72</v>
      </c>
      <c r="O6">
        <v>600000</v>
      </c>
    </row>
    <row r="7" spans="1:15" ht="18.5" x14ac:dyDescent="0.45">
      <c r="A7" s="59" t="s">
        <v>215</v>
      </c>
      <c r="B7" s="59">
        <v>748</v>
      </c>
      <c r="C7" s="59">
        <v>235</v>
      </c>
      <c r="D7" s="59">
        <v>985</v>
      </c>
      <c r="E7" s="57">
        <f t="shared" si="0"/>
        <v>1968</v>
      </c>
      <c r="F7" s="59">
        <v>348</v>
      </c>
      <c r="G7" s="58">
        <f t="shared" si="1"/>
        <v>684864</v>
      </c>
      <c r="H7" s="58" t="str">
        <f t="shared" si="2"/>
        <v>ACHIEVED</v>
      </c>
      <c r="I7" s="58"/>
    </row>
    <row r="8" spans="1:15" ht="18.5" x14ac:dyDescent="0.45">
      <c r="A8" s="57" t="s">
        <v>216</v>
      </c>
      <c r="B8" s="57">
        <v>985</v>
      </c>
      <c r="C8" s="57">
        <v>456</v>
      </c>
      <c r="D8" s="57">
        <v>128</v>
      </c>
      <c r="E8" s="57">
        <f t="shared" si="0"/>
        <v>1569</v>
      </c>
      <c r="F8" s="57">
        <v>633</v>
      </c>
      <c r="G8" s="58">
        <f t="shared" si="1"/>
        <v>993177</v>
      </c>
      <c r="H8" s="58" t="str">
        <f t="shared" si="2"/>
        <v>ACHIEVED</v>
      </c>
      <c r="I8" s="58"/>
      <c r="N8" t="s">
        <v>267</v>
      </c>
      <c r="O8">
        <f>COUNTIF(H4:H22,H8)</f>
        <v>7</v>
      </c>
    </row>
    <row r="9" spans="1:15" ht="18.5" x14ac:dyDescent="0.45">
      <c r="A9" s="59" t="s">
        <v>217</v>
      </c>
      <c r="B9" s="59">
        <v>754</v>
      </c>
      <c r="C9" s="59">
        <v>454</v>
      </c>
      <c r="D9" s="59">
        <v>748</v>
      </c>
      <c r="E9" s="57">
        <f t="shared" si="0"/>
        <v>1956</v>
      </c>
      <c r="F9" s="59">
        <v>234</v>
      </c>
      <c r="G9" s="58">
        <f t="shared" si="1"/>
        <v>457704</v>
      </c>
      <c r="H9" s="58" t="str">
        <f t="shared" si="2"/>
        <v>NOT ACHIEVED</v>
      </c>
      <c r="I9" s="58"/>
    </row>
    <row r="10" spans="1:15" ht="18.5" x14ac:dyDescent="0.45">
      <c r="A10" s="57" t="s">
        <v>218</v>
      </c>
      <c r="B10" s="57">
        <v>142</v>
      </c>
      <c r="C10" s="57">
        <v>467</v>
      </c>
      <c r="D10" s="57">
        <v>342</v>
      </c>
      <c r="E10" s="57">
        <f t="shared" si="0"/>
        <v>951</v>
      </c>
      <c r="F10" s="57">
        <v>348</v>
      </c>
      <c r="G10" s="58">
        <f t="shared" si="1"/>
        <v>330948</v>
      </c>
      <c r="H10" s="58" t="str">
        <f t="shared" si="2"/>
        <v>NOT ACHIEVED</v>
      </c>
      <c r="I10" s="58"/>
    </row>
    <row r="11" spans="1:15" ht="18.5" x14ac:dyDescent="0.45">
      <c r="A11" s="59" t="s">
        <v>219</v>
      </c>
      <c r="B11" s="59">
        <v>532</v>
      </c>
      <c r="C11" s="59">
        <v>745</v>
      </c>
      <c r="D11" s="59">
        <v>743</v>
      </c>
      <c r="E11" s="57">
        <f t="shared" si="0"/>
        <v>2020</v>
      </c>
      <c r="F11" s="59">
        <v>633</v>
      </c>
      <c r="G11" s="58">
        <f t="shared" si="1"/>
        <v>1278660</v>
      </c>
      <c r="H11" s="58" t="str">
        <f t="shared" si="2"/>
        <v>ACHIEVED</v>
      </c>
      <c r="I11" s="58"/>
    </row>
    <row r="12" spans="1:15" ht="18.5" x14ac:dyDescent="0.45">
      <c r="A12" s="57" t="s">
        <v>220</v>
      </c>
      <c r="B12" s="57">
        <v>145</v>
      </c>
      <c r="C12" s="57">
        <v>854</v>
      </c>
      <c r="D12" s="57">
        <v>234</v>
      </c>
      <c r="E12" s="57">
        <f t="shared" si="0"/>
        <v>1233</v>
      </c>
      <c r="F12" s="57">
        <v>345</v>
      </c>
      <c r="G12" s="58">
        <f t="shared" si="1"/>
        <v>425385</v>
      </c>
      <c r="H12" s="58" t="str">
        <f t="shared" si="2"/>
        <v>NOT ACHIEVED</v>
      </c>
      <c r="I12" s="58"/>
    </row>
    <row r="13" spans="1:15" ht="18.5" x14ac:dyDescent="0.45">
      <c r="A13" s="59" t="s">
        <v>221</v>
      </c>
      <c r="B13" s="59">
        <v>123</v>
      </c>
      <c r="C13" s="59">
        <v>954</v>
      </c>
      <c r="D13" s="59">
        <v>254</v>
      </c>
      <c r="E13" s="57">
        <f t="shared" si="0"/>
        <v>1331</v>
      </c>
      <c r="F13" s="59">
        <v>389</v>
      </c>
      <c r="G13" s="58">
        <f t="shared" si="1"/>
        <v>517759</v>
      </c>
      <c r="H13" s="58" t="str">
        <f t="shared" si="2"/>
        <v>NOT ACHIEVED</v>
      </c>
      <c r="I13" s="58"/>
    </row>
    <row r="14" spans="1:15" ht="18.5" x14ac:dyDescent="0.45">
      <c r="A14" s="57" t="s">
        <v>222</v>
      </c>
      <c r="B14" s="57">
        <v>342</v>
      </c>
      <c r="C14" s="57">
        <v>785</v>
      </c>
      <c r="D14" s="57">
        <v>356</v>
      </c>
      <c r="E14" s="57">
        <f t="shared" si="0"/>
        <v>1483</v>
      </c>
      <c r="F14" s="57">
        <v>563</v>
      </c>
      <c r="G14" s="58">
        <f t="shared" si="1"/>
        <v>834929</v>
      </c>
      <c r="H14" s="58" t="str">
        <f t="shared" si="2"/>
        <v>ACHIEVED</v>
      </c>
      <c r="I14" s="58"/>
    </row>
    <row r="15" spans="1:15" ht="18.5" x14ac:dyDescent="0.45">
      <c r="A15" s="59" t="s">
        <v>223</v>
      </c>
      <c r="B15" s="59">
        <v>257</v>
      </c>
      <c r="C15" s="59">
        <v>422</v>
      </c>
      <c r="D15" s="59">
        <v>754</v>
      </c>
      <c r="E15" s="57">
        <f t="shared" si="0"/>
        <v>1433</v>
      </c>
      <c r="F15" s="59">
        <v>327</v>
      </c>
      <c r="G15" s="58">
        <f t="shared" si="1"/>
        <v>468591</v>
      </c>
      <c r="H15" s="58" t="str">
        <f t="shared" si="2"/>
        <v>NOT ACHIEVED</v>
      </c>
      <c r="I15" s="58"/>
    </row>
    <row r="16" spans="1:15" ht="18.5" x14ac:dyDescent="0.45">
      <c r="A16" s="57" t="s">
        <v>224</v>
      </c>
      <c r="B16" s="57">
        <v>341</v>
      </c>
      <c r="C16" s="57">
        <v>964</v>
      </c>
      <c r="D16" s="57">
        <v>978</v>
      </c>
      <c r="E16" s="57">
        <f t="shared" si="0"/>
        <v>2283</v>
      </c>
      <c r="F16" s="57">
        <v>563</v>
      </c>
      <c r="G16" s="58">
        <f t="shared" si="1"/>
        <v>1285329</v>
      </c>
      <c r="H16" s="58" t="str">
        <f t="shared" si="2"/>
        <v>ACHIEVED</v>
      </c>
      <c r="I16" s="58"/>
    </row>
    <row r="17" spans="1:9" ht="18.5" x14ac:dyDescent="0.45">
      <c r="A17" s="59" t="s">
        <v>225</v>
      </c>
      <c r="B17" s="59">
        <v>34</v>
      </c>
      <c r="C17" s="59">
        <v>23</v>
      </c>
      <c r="D17" s="59">
        <v>67</v>
      </c>
      <c r="E17" s="57">
        <f t="shared" si="0"/>
        <v>124</v>
      </c>
      <c r="F17" s="59">
        <v>234</v>
      </c>
      <c r="G17" s="58">
        <f t="shared" si="1"/>
        <v>29016</v>
      </c>
      <c r="H17" s="58" t="str">
        <f t="shared" si="2"/>
        <v>NOT ACHIEVED</v>
      </c>
      <c r="I17" s="58"/>
    </row>
    <row r="18" spans="1:9" ht="18.5" x14ac:dyDescent="0.45">
      <c r="A18" s="57" t="s">
        <v>226</v>
      </c>
      <c r="B18" s="57">
        <v>23</v>
      </c>
      <c r="C18" s="57">
        <v>45</v>
      </c>
      <c r="D18" s="57">
        <v>34</v>
      </c>
      <c r="E18" s="57">
        <f t="shared" si="0"/>
        <v>102</v>
      </c>
      <c r="F18" s="57">
        <v>327</v>
      </c>
      <c r="G18" s="58">
        <f t="shared" si="1"/>
        <v>33354</v>
      </c>
      <c r="H18" s="58" t="str">
        <f t="shared" si="2"/>
        <v>NOT ACHIEVED</v>
      </c>
      <c r="I18" s="58"/>
    </row>
    <row r="19" spans="1:9" ht="18.5" x14ac:dyDescent="0.45">
      <c r="A19" s="57" t="s">
        <v>216</v>
      </c>
      <c r="B19" s="57">
        <v>985</v>
      </c>
      <c r="C19" s="57">
        <v>456</v>
      </c>
      <c r="D19" s="57">
        <v>128</v>
      </c>
      <c r="E19" s="57">
        <f t="shared" si="0"/>
        <v>1569</v>
      </c>
      <c r="F19" s="57">
        <v>633</v>
      </c>
      <c r="G19" s="58">
        <f t="shared" si="1"/>
        <v>993177</v>
      </c>
      <c r="H19" s="58" t="str">
        <f t="shared" si="2"/>
        <v>ACHIEVED</v>
      </c>
      <c r="I19" s="58"/>
    </row>
    <row r="20" spans="1:9" ht="18.5" x14ac:dyDescent="0.45">
      <c r="A20" s="59" t="s">
        <v>217</v>
      </c>
      <c r="B20" s="59">
        <v>754</v>
      </c>
      <c r="C20" s="59">
        <v>454</v>
      </c>
      <c r="D20" s="59">
        <v>748</v>
      </c>
      <c r="E20" s="57">
        <f t="shared" si="0"/>
        <v>1956</v>
      </c>
      <c r="F20" s="59">
        <v>234</v>
      </c>
      <c r="G20" s="58">
        <f t="shared" si="1"/>
        <v>457704</v>
      </c>
      <c r="H20" s="58" t="str">
        <f t="shared" si="2"/>
        <v>NOT ACHIEVED</v>
      </c>
      <c r="I20" s="58"/>
    </row>
    <row r="21" spans="1:9" ht="18.5" x14ac:dyDescent="0.45">
      <c r="A21" s="57" t="s">
        <v>218</v>
      </c>
      <c r="B21" s="57">
        <v>142</v>
      </c>
      <c r="C21" s="57">
        <v>467</v>
      </c>
      <c r="D21" s="57">
        <v>342</v>
      </c>
      <c r="E21" s="57">
        <f t="shared" si="0"/>
        <v>951</v>
      </c>
      <c r="F21" s="57">
        <v>348</v>
      </c>
      <c r="G21" s="58">
        <f t="shared" si="1"/>
        <v>330948</v>
      </c>
      <c r="H21" s="58" t="str">
        <f t="shared" si="2"/>
        <v>NOT ACHIEVED</v>
      </c>
      <c r="I21" s="58"/>
    </row>
    <row r="22" spans="1:9" ht="18.5" x14ac:dyDescent="0.45">
      <c r="A22" s="59" t="s">
        <v>219</v>
      </c>
      <c r="B22" s="59">
        <v>532</v>
      </c>
      <c r="C22" s="59">
        <v>745</v>
      </c>
      <c r="D22" s="59">
        <v>743</v>
      </c>
      <c r="E22" s="57">
        <f t="shared" si="0"/>
        <v>2020</v>
      </c>
      <c r="F22" s="59">
        <v>633</v>
      </c>
      <c r="G22" s="58">
        <f t="shared" si="1"/>
        <v>1278660</v>
      </c>
      <c r="H22" s="58" t="str">
        <f t="shared" si="2"/>
        <v>ACHIEVED</v>
      </c>
      <c r="I22" s="58"/>
    </row>
  </sheetData>
  <mergeCells count="1">
    <mergeCell ref="A1:I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opLeftCell="A7" zoomScale="106" workbookViewId="0">
      <selection activeCell="H17" sqref="H17"/>
    </sheetView>
  </sheetViews>
  <sheetFormatPr defaultRowHeight="14.5" x14ac:dyDescent="0.35"/>
  <cols>
    <col min="1" max="1" width="7.7265625" bestFit="1" customWidth="1"/>
    <col min="2" max="2" width="7.26953125" bestFit="1" customWidth="1"/>
    <col min="3" max="3" width="11.81640625" customWidth="1"/>
    <col min="4" max="4" width="11" customWidth="1"/>
    <col min="5" max="5" width="11.7265625" customWidth="1"/>
  </cols>
  <sheetData>
    <row r="1" spans="1:5" x14ac:dyDescent="0.35">
      <c r="A1" s="82" t="s">
        <v>257</v>
      </c>
      <c r="B1" s="82"/>
      <c r="C1" s="82"/>
      <c r="D1" s="82"/>
      <c r="E1" s="82"/>
    </row>
    <row r="2" spans="1:5" x14ac:dyDescent="0.35">
      <c r="A2" s="82"/>
      <c r="B2" s="82"/>
      <c r="C2" s="82"/>
      <c r="D2" s="82"/>
      <c r="E2" s="82"/>
    </row>
    <row r="3" spans="1:5" ht="72.5" x14ac:dyDescent="0.35">
      <c r="A3" s="63" t="s">
        <v>205</v>
      </c>
      <c r="B3" s="63"/>
      <c r="C3" s="64" t="s">
        <v>248</v>
      </c>
      <c r="D3" s="65" t="s">
        <v>249</v>
      </c>
      <c r="E3" s="66" t="s">
        <v>250</v>
      </c>
    </row>
    <row r="4" spans="1:5" x14ac:dyDescent="0.35">
      <c r="A4" s="67">
        <v>1972</v>
      </c>
      <c r="B4" s="67" t="s">
        <v>251</v>
      </c>
      <c r="C4" s="67">
        <v>2095.8000000000002</v>
      </c>
      <c r="D4" s="67">
        <v>970.1</v>
      </c>
      <c r="E4" s="67">
        <f>SUM(C4,D4)</f>
        <v>3065.9</v>
      </c>
    </row>
    <row r="5" spans="1:5" x14ac:dyDescent="0.35">
      <c r="A5" s="63"/>
      <c r="B5" s="63" t="s">
        <v>252</v>
      </c>
      <c r="C5" s="63">
        <v>2497.3000000000002</v>
      </c>
      <c r="D5" s="63">
        <v>479.6</v>
      </c>
      <c r="E5" s="67">
        <f t="shared" ref="E5:E15" si="0">SUM(C5,D5)</f>
        <v>2976.9</v>
      </c>
    </row>
    <row r="6" spans="1:5" x14ac:dyDescent="0.35">
      <c r="A6" s="67"/>
      <c r="B6" s="67" t="s">
        <v>253</v>
      </c>
      <c r="C6" s="67">
        <f>SUM(C4:C5)</f>
        <v>4593.1000000000004</v>
      </c>
      <c r="D6" s="67">
        <f>SUM(D4:D5)</f>
        <v>1449.7</v>
      </c>
      <c r="E6" s="67">
        <f t="shared" si="0"/>
        <v>6042.8</v>
      </c>
    </row>
    <row r="7" spans="1:5" x14ac:dyDescent="0.35">
      <c r="A7" s="63" t="s">
        <v>254</v>
      </c>
      <c r="B7" s="63" t="s">
        <v>251</v>
      </c>
      <c r="C7" s="63">
        <v>13577.5</v>
      </c>
      <c r="D7" s="63">
        <v>2615.6</v>
      </c>
      <c r="E7" s="67">
        <f t="shared" si="0"/>
        <v>16193.1</v>
      </c>
    </row>
    <row r="8" spans="1:5" x14ac:dyDescent="0.35">
      <c r="A8" s="67"/>
      <c r="B8" s="67" t="s">
        <v>252</v>
      </c>
      <c r="C8" s="67">
        <v>15897.8</v>
      </c>
      <c r="D8" s="67">
        <v>2123.1999999999998</v>
      </c>
      <c r="E8" s="67">
        <f t="shared" si="0"/>
        <v>18021</v>
      </c>
    </row>
    <row r="9" spans="1:5" x14ac:dyDescent="0.35">
      <c r="A9" s="63"/>
      <c r="B9" s="63" t="s">
        <v>253</v>
      </c>
      <c r="C9" s="63">
        <f>SUM(C7:C8)</f>
        <v>29475.3</v>
      </c>
      <c r="D9" s="63">
        <f>SUM(D7:D8)</f>
        <v>4738.7999999999993</v>
      </c>
      <c r="E9" s="67">
        <f t="shared" si="0"/>
        <v>34214.1</v>
      </c>
    </row>
    <row r="10" spans="1:5" x14ac:dyDescent="0.35">
      <c r="A10" s="67" t="s">
        <v>255</v>
      </c>
      <c r="B10" s="67" t="s">
        <v>251</v>
      </c>
      <c r="C10" s="67">
        <v>31573</v>
      </c>
      <c r="D10" s="67">
        <v>22454.9</v>
      </c>
      <c r="E10" s="67">
        <f t="shared" si="0"/>
        <v>54027.9</v>
      </c>
    </row>
    <row r="11" spans="1:5" x14ac:dyDescent="0.35">
      <c r="A11" s="63"/>
      <c r="B11" s="63" t="s">
        <v>252</v>
      </c>
      <c r="C11" s="63">
        <v>43153.1</v>
      </c>
      <c r="D11" s="63">
        <v>10973.8</v>
      </c>
      <c r="E11" s="67">
        <f t="shared" si="0"/>
        <v>54126.899999999994</v>
      </c>
    </row>
    <row r="12" spans="1:5" x14ac:dyDescent="0.35">
      <c r="A12" s="67"/>
      <c r="B12" s="67" t="s">
        <v>253</v>
      </c>
      <c r="C12" s="67">
        <f>SUM(C10:C11)</f>
        <v>74726.100000000006</v>
      </c>
      <c r="D12" s="67">
        <f>SUM(D9:D10)</f>
        <v>27193.7</v>
      </c>
      <c r="E12" s="67">
        <f t="shared" si="0"/>
        <v>101919.8</v>
      </c>
    </row>
    <row r="13" spans="1:5" x14ac:dyDescent="0.35">
      <c r="A13" s="63" t="s">
        <v>256</v>
      </c>
      <c r="B13" s="63" t="s">
        <v>251</v>
      </c>
      <c r="C13" s="63">
        <v>40719</v>
      </c>
      <c r="D13" s="63">
        <v>29361.8</v>
      </c>
      <c r="E13" s="67">
        <f t="shared" si="0"/>
        <v>70080.800000000003</v>
      </c>
    </row>
    <row r="14" spans="1:5" x14ac:dyDescent="0.35">
      <c r="A14" s="67"/>
      <c r="B14" s="67" t="s">
        <v>252</v>
      </c>
      <c r="C14" s="67">
        <v>52101.5</v>
      </c>
      <c r="D14" s="67">
        <v>17032.400000000001</v>
      </c>
      <c r="E14" s="67">
        <f t="shared" si="0"/>
        <v>69133.899999999994</v>
      </c>
    </row>
    <row r="15" spans="1:5" x14ac:dyDescent="0.35">
      <c r="A15" s="63"/>
      <c r="B15" s="63" t="s">
        <v>253</v>
      </c>
      <c r="C15" s="63">
        <f>SUM(C13:C14)</f>
        <v>92820.5</v>
      </c>
      <c r="D15" s="63">
        <f>SUM(D13:D14)</f>
        <v>46394.2</v>
      </c>
      <c r="E15" s="67">
        <f t="shared" si="0"/>
        <v>139214.70000000001</v>
      </c>
    </row>
  </sheetData>
  <mergeCells count="1">
    <mergeCell ref="A1:E2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B2" zoomScale="70" workbookViewId="0">
      <selection activeCell="N22" sqref="N22"/>
    </sheetView>
  </sheetViews>
  <sheetFormatPr defaultRowHeight="14.5" x14ac:dyDescent="0.35"/>
  <cols>
    <col min="1" max="1" width="13.08984375" bestFit="1" customWidth="1"/>
    <col min="2" max="8" width="9.54296875" bestFit="1" customWidth="1"/>
    <col min="9" max="9" width="32.453125" bestFit="1" customWidth="1"/>
    <col min="10" max="10" width="17.36328125" bestFit="1" customWidth="1"/>
    <col min="11" max="11" width="35.453125" bestFit="1" customWidth="1"/>
  </cols>
  <sheetData>
    <row r="1" spans="1:11" ht="14.5" customHeight="1" x14ac:dyDescent="0.35">
      <c r="A1" s="89" t="s">
        <v>260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1" ht="14.5" customHeight="1" x14ac:dyDescent="0.3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45" customHeight="1" x14ac:dyDescent="0.45">
      <c r="A3" s="73" t="s">
        <v>71</v>
      </c>
      <c r="B3" s="74" t="s">
        <v>269</v>
      </c>
      <c r="C3" s="74" t="s">
        <v>270</v>
      </c>
      <c r="D3" s="74" t="s">
        <v>271</v>
      </c>
      <c r="E3" s="74" t="s">
        <v>272</v>
      </c>
      <c r="F3" s="74" t="s">
        <v>273</v>
      </c>
      <c r="G3" s="74" t="s">
        <v>274</v>
      </c>
      <c r="H3" s="74" t="s">
        <v>275</v>
      </c>
      <c r="I3" s="75" t="s">
        <v>258</v>
      </c>
      <c r="J3" s="76" t="s">
        <v>259</v>
      </c>
      <c r="K3" s="74" t="s">
        <v>268</v>
      </c>
    </row>
    <row r="4" spans="1:11" x14ac:dyDescent="0.35">
      <c r="A4" s="71" t="s">
        <v>74</v>
      </c>
      <c r="B4" s="68">
        <v>345</v>
      </c>
      <c r="C4" s="68">
        <v>389</v>
      </c>
      <c r="D4" s="68">
        <v>367</v>
      </c>
      <c r="E4" s="68">
        <v>344</v>
      </c>
      <c r="F4" s="68">
        <v>129</v>
      </c>
      <c r="G4" s="68">
        <v>211</v>
      </c>
      <c r="H4" s="68">
        <v>280</v>
      </c>
      <c r="I4" s="69">
        <f>SUM(D4:H4)</f>
        <v>1331</v>
      </c>
      <c r="J4" s="72">
        <f>AVERAGE(D4:H4)</f>
        <v>266.2</v>
      </c>
      <c r="K4" s="81">
        <f>AVERAGE(Table3[[#This Row],[1993]:[1999]])</f>
        <v>295</v>
      </c>
    </row>
    <row r="5" spans="1:11" x14ac:dyDescent="0.35">
      <c r="A5" s="71" t="s">
        <v>75</v>
      </c>
      <c r="B5" s="68">
        <v>342</v>
      </c>
      <c r="C5" s="68">
        <v>345</v>
      </c>
      <c r="D5" s="68">
        <v>312</v>
      </c>
      <c r="E5" s="68">
        <v>311</v>
      </c>
      <c r="F5" s="68">
        <v>312</v>
      </c>
      <c r="G5" s="68">
        <v>200</v>
      </c>
      <c r="H5" s="68">
        <v>354</v>
      </c>
      <c r="I5" s="69">
        <f t="shared" ref="I5:I27" si="0">SUM(D5:H5)</f>
        <v>1489</v>
      </c>
      <c r="J5" s="72">
        <f t="shared" ref="J5:J27" si="1">AVERAGE(D5:H5)</f>
        <v>297.8</v>
      </c>
      <c r="K5" s="68">
        <f>AVERAGE(Table3[[#This Row],[1993]:[1999]])</f>
        <v>310.85714285714283</v>
      </c>
    </row>
    <row r="6" spans="1:11" x14ac:dyDescent="0.35">
      <c r="A6" s="71" t="s">
        <v>76</v>
      </c>
      <c r="B6" s="68">
        <v>267</v>
      </c>
      <c r="C6" s="68">
        <v>367</v>
      </c>
      <c r="D6" s="68">
        <v>189</v>
      </c>
      <c r="E6" s="68">
        <v>280</v>
      </c>
      <c r="F6" s="68">
        <v>189</v>
      </c>
      <c r="G6" s="68">
        <v>134</v>
      </c>
      <c r="H6" s="68">
        <v>340</v>
      </c>
      <c r="I6" s="69">
        <f t="shared" si="0"/>
        <v>1132</v>
      </c>
      <c r="J6" s="72">
        <f t="shared" si="1"/>
        <v>226.4</v>
      </c>
      <c r="K6" s="68">
        <f>AVERAGE(Table3[[#This Row],[1993]:[1999]])</f>
        <v>252.28571428571428</v>
      </c>
    </row>
    <row r="7" spans="1:11" x14ac:dyDescent="0.35">
      <c r="A7" s="71" t="s">
        <v>77</v>
      </c>
      <c r="B7" s="68">
        <v>367</v>
      </c>
      <c r="C7" s="68">
        <v>312</v>
      </c>
      <c r="D7" s="68">
        <v>254</v>
      </c>
      <c r="E7" s="68">
        <v>354</v>
      </c>
      <c r="F7" s="68">
        <v>254</v>
      </c>
      <c r="G7" s="68">
        <v>167</v>
      </c>
      <c r="H7" s="68">
        <v>245</v>
      </c>
      <c r="I7" s="69">
        <f t="shared" si="0"/>
        <v>1274</v>
      </c>
      <c r="J7" s="72">
        <f t="shared" si="1"/>
        <v>254.8</v>
      </c>
      <c r="K7" s="68">
        <f>AVERAGE(Table3[[#This Row],[1993]:[1999]])</f>
        <v>279</v>
      </c>
    </row>
    <row r="8" spans="1:11" x14ac:dyDescent="0.35">
      <c r="A8" s="71" t="s">
        <v>78</v>
      </c>
      <c r="B8" s="68">
        <v>223</v>
      </c>
      <c r="C8" s="68">
        <v>189</v>
      </c>
      <c r="D8" s="68">
        <v>289</v>
      </c>
      <c r="E8" s="68">
        <v>340</v>
      </c>
      <c r="F8" s="68">
        <v>289</v>
      </c>
      <c r="G8" s="68">
        <v>390</v>
      </c>
      <c r="H8" s="68">
        <v>271</v>
      </c>
      <c r="I8" s="69">
        <f t="shared" si="0"/>
        <v>1579</v>
      </c>
      <c r="J8" s="72">
        <f t="shared" si="1"/>
        <v>315.8</v>
      </c>
      <c r="K8" s="68">
        <f>AVERAGE(Table3[[#This Row],[1993]:[1999]])</f>
        <v>284.42857142857144</v>
      </c>
    </row>
    <row r="9" spans="1:11" x14ac:dyDescent="0.35">
      <c r="A9" s="71" t="s">
        <v>79</v>
      </c>
      <c r="B9" s="68">
        <v>211</v>
      </c>
      <c r="C9" s="68">
        <v>254</v>
      </c>
      <c r="D9" s="68">
        <v>211</v>
      </c>
      <c r="E9" s="68">
        <v>245</v>
      </c>
      <c r="F9" s="68">
        <v>256</v>
      </c>
      <c r="G9" s="68">
        <v>289</v>
      </c>
      <c r="H9" s="68">
        <v>319</v>
      </c>
      <c r="I9" s="69">
        <f t="shared" si="0"/>
        <v>1320</v>
      </c>
      <c r="J9" s="72">
        <f t="shared" si="1"/>
        <v>264</v>
      </c>
      <c r="K9" s="68">
        <f>AVERAGE(Table3[[#This Row],[1993]:[1999]])</f>
        <v>255</v>
      </c>
    </row>
    <row r="10" spans="1:11" x14ac:dyDescent="0.35">
      <c r="A10" s="71" t="s">
        <v>80</v>
      </c>
      <c r="B10" s="68">
        <v>200</v>
      </c>
      <c r="C10" s="68">
        <v>289</v>
      </c>
      <c r="D10" s="68">
        <v>200</v>
      </c>
      <c r="E10" s="68">
        <v>271</v>
      </c>
      <c r="F10" s="68">
        <v>217</v>
      </c>
      <c r="G10" s="68">
        <v>389</v>
      </c>
      <c r="H10" s="68">
        <v>254</v>
      </c>
      <c r="I10" s="69">
        <f t="shared" si="0"/>
        <v>1331</v>
      </c>
      <c r="J10" s="72">
        <f t="shared" si="1"/>
        <v>266.2</v>
      </c>
      <c r="K10" s="68">
        <f>AVERAGE(Table3[[#This Row],[1993]:[1999]])</f>
        <v>260</v>
      </c>
    </row>
    <row r="11" spans="1:11" x14ac:dyDescent="0.35">
      <c r="A11" s="71" t="s">
        <v>81</v>
      </c>
      <c r="B11" s="68">
        <v>134</v>
      </c>
      <c r="C11" s="68">
        <v>256</v>
      </c>
      <c r="D11" s="68">
        <v>134</v>
      </c>
      <c r="E11" s="68">
        <v>319</v>
      </c>
      <c r="F11" s="68">
        <v>323</v>
      </c>
      <c r="G11" s="68">
        <v>345</v>
      </c>
      <c r="H11" s="68">
        <v>289</v>
      </c>
      <c r="I11" s="69">
        <f t="shared" si="0"/>
        <v>1410</v>
      </c>
      <c r="J11" s="72">
        <f t="shared" si="1"/>
        <v>282</v>
      </c>
      <c r="K11" s="68">
        <f>AVERAGE(Table3[[#This Row],[1993]:[1999]])</f>
        <v>257.14285714285717</v>
      </c>
    </row>
    <row r="12" spans="1:11" x14ac:dyDescent="0.35">
      <c r="A12" s="71" t="s">
        <v>82</v>
      </c>
      <c r="B12" s="68">
        <v>167</v>
      </c>
      <c r="C12" s="68">
        <v>217</v>
      </c>
      <c r="D12" s="68">
        <v>167</v>
      </c>
      <c r="E12" s="68">
        <v>254</v>
      </c>
      <c r="F12" s="68">
        <v>278</v>
      </c>
      <c r="G12" s="68">
        <v>367</v>
      </c>
      <c r="H12" s="68">
        <v>345</v>
      </c>
      <c r="I12" s="69">
        <f t="shared" si="0"/>
        <v>1411</v>
      </c>
      <c r="J12" s="72">
        <f t="shared" si="1"/>
        <v>282.2</v>
      </c>
      <c r="K12" s="68">
        <f>AVERAGE(Table3[[#This Row],[1993]:[1999]])</f>
        <v>256.42857142857144</v>
      </c>
    </row>
    <row r="13" spans="1:11" x14ac:dyDescent="0.35">
      <c r="A13" s="71" t="s">
        <v>83</v>
      </c>
      <c r="B13" s="68">
        <v>390</v>
      </c>
      <c r="C13" s="68">
        <v>219</v>
      </c>
      <c r="D13" s="68">
        <v>390</v>
      </c>
      <c r="E13" s="68">
        <v>289</v>
      </c>
      <c r="F13" s="68">
        <v>377</v>
      </c>
      <c r="G13" s="68">
        <v>312</v>
      </c>
      <c r="H13" s="68">
        <v>322</v>
      </c>
      <c r="I13" s="69">
        <f t="shared" si="0"/>
        <v>1690</v>
      </c>
      <c r="J13" s="72">
        <f t="shared" si="1"/>
        <v>338</v>
      </c>
      <c r="K13" s="68">
        <f>AVERAGE(Table3[[#This Row],[1993]:[1999]])</f>
        <v>328.42857142857144</v>
      </c>
    </row>
    <row r="14" spans="1:11" x14ac:dyDescent="0.35">
      <c r="A14" s="71" t="s">
        <v>84</v>
      </c>
      <c r="B14" s="68">
        <v>289</v>
      </c>
      <c r="C14" s="68">
        <v>367</v>
      </c>
      <c r="D14" s="68">
        <v>388</v>
      </c>
      <c r="E14" s="68">
        <v>211</v>
      </c>
      <c r="F14" s="68">
        <v>281</v>
      </c>
      <c r="G14" s="68">
        <v>189</v>
      </c>
      <c r="H14" s="68">
        <v>300</v>
      </c>
      <c r="I14" s="69">
        <f t="shared" si="0"/>
        <v>1369</v>
      </c>
      <c r="J14" s="72">
        <f t="shared" si="1"/>
        <v>273.8</v>
      </c>
      <c r="K14" s="68">
        <f>AVERAGE(Table3[[#This Row],[1993]:[1999]])</f>
        <v>289.28571428571428</v>
      </c>
    </row>
    <row r="15" spans="1:11" x14ac:dyDescent="0.35">
      <c r="A15" s="71" t="s">
        <v>85</v>
      </c>
      <c r="B15" s="68">
        <v>265</v>
      </c>
      <c r="C15" s="68">
        <v>345</v>
      </c>
      <c r="D15" s="68">
        <v>217</v>
      </c>
      <c r="E15" s="68">
        <v>200</v>
      </c>
      <c r="F15" s="68">
        <v>399</v>
      </c>
      <c r="G15" s="68">
        <v>134</v>
      </c>
      <c r="H15" s="68">
        <v>367</v>
      </c>
      <c r="I15" s="69">
        <f t="shared" si="0"/>
        <v>1317</v>
      </c>
      <c r="J15" s="72">
        <f t="shared" si="1"/>
        <v>263.39999999999998</v>
      </c>
      <c r="K15" s="68">
        <f>AVERAGE(Table3[[#This Row],[1993]:[1999]])</f>
        <v>275.28571428571428</v>
      </c>
    </row>
    <row r="16" spans="1:11" x14ac:dyDescent="0.35">
      <c r="A16" s="71" t="s">
        <v>74</v>
      </c>
      <c r="B16" s="68">
        <v>345</v>
      </c>
      <c r="C16" s="68">
        <v>389</v>
      </c>
      <c r="D16" s="68">
        <v>367</v>
      </c>
      <c r="E16" s="68">
        <v>344</v>
      </c>
      <c r="F16" s="68">
        <v>129</v>
      </c>
      <c r="G16" s="68">
        <v>211</v>
      </c>
      <c r="H16" s="68">
        <v>280</v>
      </c>
      <c r="I16" s="69">
        <f t="shared" si="0"/>
        <v>1331</v>
      </c>
      <c r="J16" s="72">
        <f t="shared" si="1"/>
        <v>266.2</v>
      </c>
      <c r="K16" s="68">
        <f>AVERAGE(Table3[[#This Row],[1993]:[1999]])</f>
        <v>295</v>
      </c>
    </row>
    <row r="17" spans="1:11" x14ac:dyDescent="0.35">
      <c r="A17" s="71" t="s">
        <v>75</v>
      </c>
      <c r="B17" s="68">
        <v>342</v>
      </c>
      <c r="C17" s="68">
        <v>345</v>
      </c>
      <c r="D17" s="68">
        <v>312</v>
      </c>
      <c r="E17" s="68">
        <v>311</v>
      </c>
      <c r="F17" s="68">
        <v>312</v>
      </c>
      <c r="G17" s="68">
        <v>200</v>
      </c>
      <c r="H17" s="68">
        <v>354</v>
      </c>
      <c r="I17" s="69">
        <f t="shared" si="0"/>
        <v>1489</v>
      </c>
      <c r="J17" s="72">
        <f t="shared" si="1"/>
        <v>297.8</v>
      </c>
      <c r="K17" s="68">
        <f>AVERAGE(Table3[[#This Row],[1993]:[1999]])</f>
        <v>310.85714285714283</v>
      </c>
    </row>
    <row r="18" spans="1:11" x14ac:dyDescent="0.35">
      <c r="A18" s="71" t="s">
        <v>76</v>
      </c>
      <c r="B18" s="68">
        <v>267</v>
      </c>
      <c r="C18" s="68">
        <v>367</v>
      </c>
      <c r="D18" s="68">
        <v>189</v>
      </c>
      <c r="E18" s="68">
        <v>280</v>
      </c>
      <c r="F18" s="68">
        <v>189</v>
      </c>
      <c r="G18" s="68">
        <v>134</v>
      </c>
      <c r="H18" s="68">
        <v>340</v>
      </c>
      <c r="I18" s="69">
        <f t="shared" si="0"/>
        <v>1132</v>
      </c>
      <c r="J18" s="72">
        <f t="shared" si="1"/>
        <v>226.4</v>
      </c>
      <c r="K18" s="68">
        <f>AVERAGE(Table3[[#This Row],[1993]:[1999]])</f>
        <v>252.28571428571428</v>
      </c>
    </row>
    <row r="19" spans="1:11" x14ac:dyDescent="0.35">
      <c r="A19" s="71" t="s">
        <v>77</v>
      </c>
      <c r="B19" s="68">
        <v>367</v>
      </c>
      <c r="C19" s="68">
        <v>312</v>
      </c>
      <c r="D19" s="68">
        <v>254</v>
      </c>
      <c r="E19" s="68">
        <v>354</v>
      </c>
      <c r="F19" s="68">
        <v>254</v>
      </c>
      <c r="G19" s="68">
        <v>167</v>
      </c>
      <c r="H19" s="68">
        <v>245</v>
      </c>
      <c r="I19" s="69">
        <f t="shared" si="0"/>
        <v>1274</v>
      </c>
      <c r="J19" s="72">
        <f t="shared" si="1"/>
        <v>254.8</v>
      </c>
      <c r="K19" s="68">
        <f>AVERAGE(Table3[[#This Row],[1993]:[1999]])</f>
        <v>279</v>
      </c>
    </row>
    <row r="20" spans="1:11" x14ac:dyDescent="0.35">
      <c r="A20" s="71" t="s">
        <v>78</v>
      </c>
      <c r="B20" s="68">
        <v>223</v>
      </c>
      <c r="C20" s="68">
        <v>189</v>
      </c>
      <c r="D20" s="68">
        <v>289</v>
      </c>
      <c r="E20" s="68">
        <v>340</v>
      </c>
      <c r="F20" s="68">
        <v>289</v>
      </c>
      <c r="G20" s="68">
        <v>390</v>
      </c>
      <c r="H20" s="68">
        <v>271</v>
      </c>
      <c r="I20" s="69">
        <f t="shared" si="0"/>
        <v>1579</v>
      </c>
      <c r="J20" s="72">
        <f t="shared" si="1"/>
        <v>315.8</v>
      </c>
      <c r="K20" s="68">
        <f>AVERAGE(Table3[[#This Row],[1993]:[1999]])</f>
        <v>284.42857142857144</v>
      </c>
    </row>
    <row r="21" spans="1:11" x14ac:dyDescent="0.35">
      <c r="A21" s="71" t="s">
        <v>79</v>
      </c>
      <c r="B21" s="68">
        <v>211</v>
      </c>
      <c r="C21" s="68">
        <v>254</v>
      </c>
      <c r="D21" s="68">
        <v>211</v>
      </c>
      <c r="E21" s="68">
        <v>245</v>
      </c>
      <c r="F21" s="68">
        <v>256</v>
      </c>
      <c r="G21" s="68">
        <v>289</v>
      </c>
      <c r="H21" s="68">
        <v>319</v>
      </c>
      <c r="I21" s="69">
        <f t="shared" si="0"/>
        <v>1320</v>
      </c>
      <c r="J21" s="72">
        <f t="shared" si="1"/>
        <v>264</v>
      </c>
      <c r="K21" s="68">
        <f>AVERAGE(Table3[[#This Row],[1993]:[1999]])</f>
        <v>255</v>
      </c>
    </row>
    <row r="22" spans="1:11" x14ac:dyDescent="0.35">
      <c r="A22" s="71" t="s">
        <v>80</v>
      </c>
      <c r="B22" s="68">
        <v>200</v>
      </c>
      <c r="C22" s="68">
        <v>289</v>
      </c>
      <c r="D22" s="68">
        <v>200</v>
      </c>
      <c r="E22" s="68">
        <v>271</v>
      </c>
      <c r="F22" s="68">
        <v>217</v>
      </c>
      <c r="G22" s="68">
        <v>389</v>
      </c>
      <c r="H22" s="68">
        <v>254</v>
      </c>
      <c r="I22" s="69">
        <f t="shared" si="0"/>
        <v>1331</v>
      </c>
      <c r="J22" s="72">
        <f t="shared" si="1"/>
        <v>266.2</v>
      </c>
      <c r="K22" s="68">
        <f>AVERAGE(Table3[[#This Row],[1993]:[1999]])</f>
        <v>260</v>
      </c>
    </row>
    <row r="23" spans="1:11" x14ac:dyDescent="0.35">
      <c r="A23" s="71" t="s">
        <v>81</v>
      </c>
      <c r="B23" s="68">
        <v>134</v>
      </c>
      <c r="C23" s="68">
        <v>256</v>
      </c>
      <c r="D23" s="68">
        <v>134</v>
      </c>
      <c r="E23" s="68">
        <v>319</v>
      </c>
      <c r="F23" s="68">
        <v>323</v>
      </c>
      <c r="G23" s="68">
        <v>345</v>
      </c>
      <c r="H23" s="68">
        <v>289</v>
      </c>
      <c r="I23" s="69">
        <f t="shared" si="0"/>
        <v>1410</v>
      </c>
      <c r="J23" s="72">
        <f t="shared" si="1"/>
        <v>282</v>
      </c>
      <c r="K23" s="68">
        <f>AVERAGE(Table3[[#This Row],[1993]:[1999]])</f>
        <v>257.14285714285717</v>
      </c>
    </row>
    <row r="24" spans="1:11" x14ac:dyDescent="0.35">
      <c r="A24" s="71" t="s">
        <v>82</v>
      </c>
      <c r="B24" s="68">
        <v>167</v>
      </c>
      <c r="C24" s="68">
        <v>217</v>
      </c>
      <c r="D24" s="68">
        <v>167</v>
      </c>
      <c r="E24" s="68">
        <v>254</v>
      </c>
      <c r="F24" s="68">
        <v>278</v>
      </c>
      <c r="G24" s="68">
        <v>367</v>
      </c>
      <c r="H24" s="68">
        <v>345</v>
      </c>
      <c r="I24" s="69">
        <f t="shared" si="0"/>
        <v>1411</v>
      </c>
      <c r="J24" s="72">
        <f t="shared" si="1"/>
        <v>282.2</v>
      </c>
      <c r="K24" s="68">
        <f>AVERAGE(Table3[[#This Row],[1993]:[1999]])</f>
        <v>256.42857142857144</v>
      </c>
    </row>
    <row r="25" spans="1:11" x14ac:dyDescent="0.35">
      <c r="A25" s="71" t="s">
        <v>83</v>
      </c>
      <c r="B25" s="68">
        <v>390</v>
      </c>
      <c r="C25" s="68">
        <v>219</v>
      </c>
      <c r="D25" s="68">
        <v>390</v>
      </c>
      <c r="E25" s="68">
        <v>289</v>
      </c>
      <c r="F25" s="68">
        <v>377</v>
      </c>
      <c r="G25" s="68">
        <v>312</v>
      </c>
      <c r="H25" s="68">
        <v>322</v>
      </c>
      <c r="I25" s="69">
        <f t="shared" si="0"/>
        <v>1690</v>
      </c>
      <c r="J25" s="72">
        <f t="shared" si="1"/>
        <v>338</v>
      </c>
      <c r="K25" s="68">
        <f>AVERAGE(Table3[[#This Row],[1993]:[1999]])</f>
        <v>328.42857142857144</v>
      </c>
    </row>
    <row r="26" spans="1:11" x14ac:dyDescent="0.35">
      <c r="A26" s="71" t="s">
        <v>84</v>
      </c>
      <c r="B26" s="68">
        <v>289</v>
      </c>
      <c r="C26" s="68">
        <v>367</v>
      </c>
      <c r="D26" s="68">
        <v>388</v>
      </c>
      <c r="E26" s="68">
        <v>211</v>
      </c>
      <c r="F26" s="68">
        <v>281</v>
      </c>
      <c r="G26" s="68">
        <v>189</v>
      </c>
      <c r="H26" s="68">
        <v>300</v>
      </c>
      <c r="I26" s="69">
        <f t="shared" si="0"/>
        <v>1369</v>
      </c>
      <c r="J26" s="72">
        <f t="shared" si="1"/>
        <v>273.8</v>
      </c>
      <c r="K26" s="68">
        <f>AVERAGE(Table3[[#This Row],[1993]:[1999]])</f>
        <v>289.28571428571428</v>
      </c>
    </row>
    <row r="27" spans="1:11" x14ac:dyDescent="0.35">
      <c r="A27" s="77" t="s">
        <v>85</v>
      </c>
      <c r="B27" s="78">
        <v>265</v>
      </c>
      <c r="C27" s="78">
        <v>345</v>
      </c>
      <c r="D27" s="78">
        <v>217</v>
      </c>
      <c r="E27" s="78">
        <v>200</v>
      </c>
      <c r="F27" s="78">
        <v>399</v>
      </c>
      <c r="G27" s="78">
        <v>134</v>
      </c>
      <c r="H27" s="78">
        <v>367</v>
      </c>
      <c r="I27" s="79">
        <f t="shared" si="0"/>
        <v>1317</v>
      </c>
      <c r="J27" s="80">
        <f t="shared" si="1"/>
        <v>263.39999999999998</v>
      </c>
      <c r="K27" s="78">
        <f>AVERAGE(Table3[[#This Row],[1993]:[1999]])</f>
        <v>275.28571428571428</v>
      </c>
    </row>
  </sheetData>
  <mergeCells count="1">
    <mergeCell ref="A1:K2"/>
  </mergeCells>
  <pageMargins left="0.7" right="0.7" top="0.75" bottom="0.75" header="0.3" footer="0.3"/>
  <pageSetup paperSize="9" orientation="landscape" r:id="rId1"/>
  <ignoredErrors>
    <ignoredError sqref="I4:J27" formulaRange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MARKSHEET</vt:lpstr>
      <vt:lpstr>STUDENT LIST</vt:lpstr>
      <vt:lpstr>PARETOS CHART</vt:lpstr>
      <vt:lpstr>CAHRTS</vt:lpstr>
      <vt:lpstr>SPEEDOMETER</vt:lpstr>
      <vt:lpstr>IF FUNCTION</vt:lpstr>
      <vt:lpstr>IF FUNCITON 2</vt:lpstr>
      <vt:lpstr>SALES REPORT</vt:lpstr>
      <vt:lpstr>DEPRECIATION</vt:lpstr>
      <vt:lpstr>FINACNICAL </vt:lpstr>
      <vt:lpstr>VLOOKUP</vt:lpstr>
      <vt:lpstr>HLOOK UP</vt:lpstr>
      <vt:lpstr>FILTER</vt:lpstr>
      <vt:lpstr>SUMIF</vt:lpstr>
      <vt:lpstr>IF&amp;SUM</vt:lpstr>
      <vt:lpstr>BALANCE SHEET</vt:lpstr>
      <vt:lpstr>MONTHLY REPORT</vt:lpstr>
      <vt:lpstr>BALANCESHEET</vt:lpstr>
      <vt:lpstr>CAHRTS</vt:lpstr>
      <vt:lpstr>CHARTS</vt:lpstr>
      <vt:lpstr>DEPRECIATION</vt:lpstr>
      <vt:lpstr>FILTER</vt:lpstr>
      <vt:lpstr>FINANCIAL</vt:lpstr>
      <vt:lpstr>IFFUCNTION</vt:lpstr>
      <vt:lpstr>IFFUNCTION2</vt:lpstr>
      <vt:lpstr>IFSUM</vt:lpstr>
      <vt:lpstr>INDEX2</vt:lpstr>
      <vt:lpstr>MARKSHEET</vt:lpstr>
      <vt:lpstr>PARETOS</vt:lpstr>
      <vt:lpstr>SPEEDOMETER</vt:lpstr>
      <vt:lpstr>STUDENTLIST</vt:lpstr>
      <vt:lpstr>SUMIF</vt:lpstr>
      <vt:lpstr>VLOOUKUP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COMPUTEC DEMO 1</dc:creator>
  <cp:lastModifiedBy>admin</cp:lastModifiedBy>
  <cp:lastPrinted>2024-10-15T05:31:25Z</cp:lastPrinted>
  <dcterms:created xsi:type="dcterms:W3CDTF">2024-10-13T11:23:18Z</dcterms:created>
  <dcterms:modified xsi:type="dcterms:W3CDTF">2026-04-20T21:26:17Z</dcterms:modified>
</cp:coreProperties>
</file>